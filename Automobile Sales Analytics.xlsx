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2.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EXCEL\Major Project\"/>
    </mc:Choice>
  </mc:AlternateContent>
  <bookViews>
    <workbookView xWindow="0" yWindow="0" windowWidth="17256" windowHeight="5688" tabRatio="916" firstSheet="2" activeTab="8"/>
  </bookViews>
  <sheets>
    <sheet name="BrandPerformance" sheetId="2" r:id="rId1"/>
    <sheet name="ModelPerformance" sheetId="8" r:id="rId2"/>
    <sheet name="SalesTrends" sheetId="3" r:id="rId3"/>
    <sheet name="DealerAnlytics" sheetId="9" r:id="rId4"/>
    <sheet name="CustomerDemographic" sheetId="5" r:id="rId5"/>
    <sheet name="RegionalSales" sheetId="4" r:id="rId6"/>
    <sheet name="ServiceAnalytics" sheetId="7" r:id="rId7"/>
    <sheet name="Revenue&amp;Profit" sheetId="10" r:id="rId8"/>
    <sheet name="MainDashboard" sheetId="11" r:id="rId9"/>
    <sheet name="KPIBackend" sheetId="12" r:id="rId10"/>
    <sheet name="TableAutomobileSales" sheetId="1" r:id="rId11"/>
    <sheet name="MainDashborad2" sheetId="13" r:id="rId12"/>
  </sheets>
  <definedNames>
    <definedName name="Slicer_Brand">#N/A</definedName>
    <definedName name="Slicer_Category">#N/A</definedName>
    <definedName name="Slicer_Dealer_Name">#N/A</definedName>
    <definedName name="Slicer_Month">#N/A</definedName>
    <definedName name="Slicer_Region">#N/A</definedName>
  </definedNames>
  <calcPr calcId="162913"/>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1" i="1" l="1"/>
  <c r="T21" i="1" s="1"/>
  <c r="R20" i="1"/>
  <c r="T20" i="1" s="1"/>
  <c r="R19" i="1"/>
  <c r="T19" i="1" s="1"/>
  <c r="R18" i="1"/>
  <c r="T18" i="1" s="1"/>
  <c r="R17" i="1"/>
  <c r="T17" i="1" s="1"/>
  <c r="R16" i="1"/>
  <c r="T16" i="1" s="1"/>
  <c r="R15" i="1"/>
  <c r="T15" i="1" s="1"/>
  <c r="R14" i="1"/>
  <c r="R13" i="1"/>
  <c r="R12" i="1"/>
  <c r="R11" i="1"/>
  <c r="R10" i="1"/>
  <c r="R9" i="1"/>
  <c r="R8" i="1"/>
  <c r="R7" i="1"/>
  <c r="R6" i="1"/>
  <c r="R5" i="1"/>
  <c r="R4" i="1"/>
  <c r="R3" i="1"/>
  <c r="R2" i="1"/>
  <c r="B7" i="11"/>
  <c r="H7" i="11"/>
  <c r="E7" i="11"/>
  <c r="K7" i="11"/>
  <c r="N7" i="11"/>
  <c r="T14" i="1" l="1"/>
  <c r="T13" i="1"/>
  <c r="T12" i="1"/>
  <c r="T11" i="1"/>
  <c r="T10" i="1"/>
  <c r="T9" i="1"/>
  <c r="T8" i="1"/>
  <c r="T7" i="1" l="1"/>
  <c r="T6" i="1"/>
  <c r="T5" i="1"/>
  <c r="T4" i="1"/>
  <c r="T3" i="1"/>
  <c r="T2" i="1"/>
</calcChain>
</file>

<file path=xl/sharedStrings.xml><?xml version="1.0" encoding="utf-8"?>
<sst xmlns="http://schemas.openxmlformats.org/spreadsheetml/2006/main" count="541" uniqueCount="139">
  <si>
    <t>Sale ID</t>
  </si>
  <si>
    <t>Sale Date</t>
  </si>
  <si>
    <t>Year</t>
  </si>
  <si>
    <t>Month</t>
  </si>
  <si>
    <t>Region</t>
  </si>
  <si>
    <t>Dealer ID</t>
  </si>
  <si>
    <t>Dealer Name</t>
  </si>
  <si>
    <t>Brand</t>
  </si>
  <si>
    <t>Model</t>
  </si>
  <si>
    <t>Category</t>
  </si>
  <si>
    <t>Customer ID</t>
  </si>
  <si>
    <t>Customer Age</t>
  </si>
  <si>
    <t>Gender</t>
  </si>
  <si>
    <t>Income</t>
  </si>
  <si>
    <t>Occupation</t>
  </si>
  <si>
    <t>Units Sold</t>
  </si>
  <si>
    <t>Selling Price</t>
  </si>
  <si>
    <t>Revenue</t>
  </si>
  <si>
    <t>Cost</t>
  </si>
  <si>
    <t>Profit</t>
  </si>
  <si>
    <t>Target Units</t>
  </si>
  <si>
    <t>Target Achievement %</t>
  </si>
  <si>
    <t>Service Type</t>
  </si>
  <si>
    <t>Service Cost</t>
  </si>
  <si>
    <t>CSAT Score</t>
  </si>
  <si>
    <t>S001</t>
  </si>
  <si>
    <t>S002</t>
  </si>
  <si>
    <t>S003</t>
  </si>
  <si>
    <t>S004</t>
  </si>
  <si>
    <t>S005</t>
  </si>
  <si>
    <t>S006</t>
  </si>
  <si>
    <t>S007</t>
  </si>
  <si>
    <t>S008</t>
  </si>
  <si>
    <t>S009</t>
  </si>
  <si>
    <t>S010</t>
  </si>
  <si>
    <t>S011</t>
  </si>
  <si>
    <t>S012</t>
  </si>
  <si>
    <t>S013</t>
  </si>
  <si>
    <t>S014</t>
  </si>
  <si>
    <t>S015</t>
  </si>
  <si>
    <t>S016</t>
  </si>
  <si>
    <t>S017</t>
  </si>
  <si>
    <t>S018</t>
  </si>
  <si>
    <t>S019</t>
  </si>
  <si>
    <t>S020</t>
  </si>
  <si>
    <t>January</t>
  </si>
  <si>
    <t>North</t>
  </si>
  <si>
    <t>DLR-01</t>
  </si>
  <si>
    <t>DLR-02</t>
  </si>
  <si>
    <t>DLR-03</t>
  </si>
  <si>
    <t>DLR-04</t>
  </si>
  <si>
    <t>DLR-05</t>
  </si>
  <si>
    <t>DLR-06</t>
  </si>
  <si>
    <t>DLR-07</t>
  </si>
  <si>
    <t>DLR-08</t>
  </si>
  <si>
    <t>Apex Motors</t>
  </si>
  <si>
    <t>Toyota</t>
  </si>
  <si>
    <t>RAV4</t>
  </si>
  <si>
    <t>Mass Market</t>
  </si>
  <si>
    <t>C001</t>
  </si>
  <si>
    <t>C002</t>
  </si>
  <si>
    <t>C003</t>
  </si>
  <si>
    <t>C004</t>
  </si>
  <si>
    <t>C005</t>
  </si>
  <si>
    <t>C006</t>
  </si>
  <si>
    <t>C007</t>
  </si>
  <si>
    <t>C008</t>
  </si>
  <si>
    <t>C009</t>
  </si>
  <si>
    <t>C010</t>
  </si>
  <si>
    <t>C011</t>
  </si>
  <si>
    <t>C012</t>
  </si>
  <si>
    <t>C013</t>
  </si>
  <si>
    <t>C014</t>
  </si>
  <si>
    <t>C015</t>
  </si>
  <si>
    <t>C016</t>
  </si>
  <si>
    <t>C017</t>
  </si>
  <si>
    <t>C018</t>
  </si>
  <si>
    <t>C019</t>
  </si>
  <si>
    <t>C020</t>
  </si>
  <si>
    <t>Male</t>
  </si>
  <si>
    <t>IT</t>
  </si>
  <si>
    <t>Oil Change</t>
  </si>
  <si>
    <t>South</t>
  </si>
  <si>
    <t>February</t>
  </si>
  <si>
    <t>Prime Auto</t>
  </si>
  <si>
    <t>Honda</t>
  </si>
  <si>
    <t>CR-V</t>
  </si>
  <si>
    <t>Female</t>
  </si>
  <si>
    <t>Manager</t>
  </si>
  <si>
    <t>General Service</t>
  </si>
  <si>
    <t>East</t>
  </si>
  <si>
    <t>Metro Wheels</t>
  </si>
  <si>
    <t>Ford</t>
  </si>
  <si>
    <t>F-150</t>
  </si>
  <si>
    <t>Truck</t>
  </si>
  <si>
    <t>Business</t>
  </si>
  <si>
    <t>Engine Check</t>
  </si>
  <si>
    <t>West</t>
  </si>
  <si>
    <t>Royal Motors</t>
  </si>
  <si>
    <t>Hyundai</t>
  </si>
  <si>
    <t>Tucson</t>
  </si>
  <si>
    <t>Teacher</t>
  </si>
  <si>
    <t>BMW</t>
  </si>
  <si>
    <t>X5</t>
  </si>
  <si>
    <t>Luxury</t>
  </si>
  <si>
    <t>Full Service</t>
  </si>
  <si>
    <t>Doctor</t>
  </si>
  <si>
    <t>Brake Service</t>
  </si>
  <si>
    <t>Engineer</t>
  </si>
  <si>
    <t>March</t>
  </si>
  <si>
    <t>April</t>
  </si>
  <si>
    <t>Speed Auto</t>
  </si>
  <si>
    <t>Designer</t>
  </si>
  <si>
    <t>Star Motors</t>
  </si>
  <si>
    <t>United Wheels</t>
  </si>
  <si>
    <t>City Auto</t>
  </si>
  <si>
    <t>May</t>
  </si>
  <si>
    <t>Row Labels</t>
  </si>
  <si>
    <t>Grand Total</t>
  </si>
  <si>
    <t>Sum of Units Sold</t>
  </si>
  <si>
    <t>Sum of Revenue</t>
  </si>
  <si>
    <t>Sum of Profit</t>
  </si>
  <si>
    <t>Count of Customer ID</t>
  </si>
  <si>
    <t>Sum of Service Cost</t>
  </si>
  <si>
    <t>Sum of CSAT Score</t>
  </si>
  <si>
    <t>Sum of Target Units</t>
  </si>
  <si>
    <t>Sum of Cost</t>
  </si>
  <si>
    <t>TOTAL UNITS SOLD</t>
  </si>
  <si>
    <t>Total Revenue</t>
  </si>
  <si>
    <t>Total Cost</t>
  </si>
  <si>
    <t>Total Profit</t>
  </si>
  <si>
    <t>Average of CSAT Score</t>
  </si>
  <si>
    <t>Average CSAT</t>
  </si>
  <si>
    <t>Sum of Target Achievement %</t>
  </si>
  <si>
    <t>Sum of Customer Age</t>
  </si>
  <si>
    <t>Count of Occupation</t>
  </si>
  <si>
    <t>Count of Service Type</t>
  </si>
  <si>
    <t>AutoMobile Sales Analytics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</si>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</sst>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theme="1"/>
      <name val="Calibri"/>
      <family val="2"/>
      <scheme val="minor"/>
    </font>
    <font>
      <sz val="11"/>
      <color theme="4" tint="0.79998168889431442"/>
      <name val="Calibri"/>
      <family val="2"/>
      <scheme val="minor"/>
    </font>
    <font>
      <b/>
      <sz val="14"/>
      <color theme="4" tint="0.79998168889431442"/>
      <name val="Calibri"/>
      <family val="2"/>
      <scheme val="minor"/>
    </font>
    <font>
      <b/>
      <sz val="14"/>
      <color theme="5"/>
      <name val="Calibri"/>
      <family val="2"/>
      <scheme val="minor"/>
    </font>
    <font>
      <sz val="14"/>
      <color theme="5"/>
      <name val="Calibri"/>
      <family val="2"/>
      <scheme val="minor"/>
    </font>
    <font>
      <b/>
      <sz val="16"/>
      <color theme="4" tint="0.79998168889431442"/>
      <name val="Calibri"/>
      <family val="2"/>
      <scheme val="minor"/>
    </font>
    <font>
      <b/>
      <sz val="48"/>
      <color theme="5"/>
      <name val="Calibri"/>
      <family val="2"/>
      <scheme val="minor"/>
    </font>
  </fonts>
  <fills count="3">
    <fill>
      <patternFill patternType="none"/>
    </fill>
    <fill>
      <patternFill patternType="gray125"/>
    </fill>
    <fill>
      <patternFill patternType="solid">
        <fgColor theme="1" tint="0.249977111117893"/>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5"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2" fillId="2" borderId="0" xfId="0" applyFont="1" applyFill="1" applyBorder="1"/>
    <xf numFmtId="0" fontId="6" fillId="2" borderId="2" xfId="0" applyFont="1" applyFill="1" applyBorder="1"/>
    <xf numFmtId="0" fontId="4" fillId="2" borderId="3" xfId="0" applyFont="1" applyFill="1" applyBorder="1" applyAlignment="1">
      <alignment horizontal="center" vertical="center"/>
    </xf>
    <xf numFmtId="0" fontId="3" fillId="2" borderId="2" xfId="0" applyFont="1" applyFill="1" applyBorder="1"/>
    <xf numFmtId="0" fontId="5" fillId="2" borderId="3"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1" xfId="0" applyFont="1" applyFill="1" applyBorder="1" applyAlignment="1">
      <alignment horizontal="center" vertical="center"/>
    </xf>
  </cellXfs>
  <cellStyles count="2">
    <cellStyle name="Normal" xfId="0" builtinId="0"/>
    <cellStyle name="Percent" xfId="1" builtinId="5"/>
  </cellStyles>
  <dxfs count="5">
    <dxf>
      <font>
        <b val="0"/>
        <i val="0"/>
        <strike val="0"/>
        <condense val="0"/>
        <extend val="0"/>
        <outline val="0"/>
        <shadow val="0"/>
        <u val="none"/>
        <vertAlign val="baseline"/>
        <sz val="11"/>
        <color theme="1"/>
        <name val="Calibri"/>
        <scheme val="minor"/>
      </font>
    </dxf>
    <dxf>
      <numFmt numFmtId="2" formatCode="0.00"/>
    </dxf>
    <dxf>
      <numFmt numFmtId="20" formatCode="dd/mmm/yy"/>
    </dxf>
    <dxf>
      <border>
        <vertical/>
        <horizontal/>
      </border>
    </dxf>
    <dxf>
      <border diagonalUp="0" diagonalDown="0">
        <left/>
        <right/>
        <top/>
        <bottom/>
        <vertical/>
        <horizontal/>
      </border>
    </dxf>
  </dxfs>
  <tableStyles count="3" defaultTableStyle="TableStyleMedium2" defaultPivotStyle="PivotStyleLight16">
    <tableStyle name="No Border" pivot="0" table="0" count="0"/>
    <tableStyle name="Slicer Style 1" pivot="0" table="0" count="1">
      <tableStyleElement type="wholeTable" dxfId="4"/>
    </tableStyle>
    <tableStyle name="Slicer Style 2" pivot="0" table="0" count="1">
      <tableStyleElement type="wholeTable" dxfId="3"/>
    </tableStyle>
  </tableStyles>
  <extLst>
    <ext xmlns:x14="http://schemas.microsoft.com/office/spreadsheetml/2009/9/main" uri="{EB79DEF2-80B8-43e5-95BD-54CBDDF9020C}">
      <x14:slicerStyles defaultSlicerStyle="SlicerStyleLight1">
        <x14:slicerStyle name="No Border"/>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Analytics.xlsx]BrandPerformance!PivotTable1</c:name>
    <c:fmtId val="3"/>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BrandPerformance!$B$3</c:f>
              <c:strCache>
                <c:ptCount val="1"/>
                <c:pt idx="0">
                  <c:v>Sum of Units Sold</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BrandPerformance!$A$4:$A$9</c:f>
              <c:strCache>
                <c:ptCount val="5"/>
                <c:pt idx="0">
                  <c:v>BMW</c:v>
                </c:pt>
                <c:pt idx="1">
                  <c:v>Ford</c:v>
                </c:pt>
                <c:pt idx="2">
                  <c:v>Honda</c:v>
                </c:pt>
                <c:pt idx="3">
                  <c:v>Hyundai</c:v>
                </c:pt>
                <c:pt idx="4">
                  <c:v>Toyota</c:v>
                </c:pt>
              </c:strCache>
            </c:strRef>
          </c:cat>
          <c:val>
            <c:numRef>
              <c:f>BrandPerformance!$B$4:$B$9</c:f>
              <c:numCache>
                <c:formatCode>General</c:formatCode>
                <c:ptCount val="5"/>
                <c:pt idx="0">
                  <c:v>4</c:v>
                </c:pt>
                <c:pt idx="1">
                  <c:v>4</c:v>
                </c:pt>
                <c:pt idx="2">
                  <c:v>4</c:v>
                </c:pt>
                <c:pt idx="3">
                  <c:v>4</c:v>
                </c:pt>
                <c:pt idx="4">
                  <c:v>4</c:v>
                </c:pt>
              </c:numCache>
            </c:numRef>
          </c:val>
          <c:extLst>
            <c:ext xmlns:c16="http://schemas.microsoft.com/office/drawing/2014/chart" uri="{C3380CC4-5D6E-409C-BE32-E72D297353CC}">
              <c16:uniqueId val="{00000000-22FE-466C-B0E2-396CBDF5440E}"/>
            </c:ext>
          </c:extLst>
        </c:ser>
        <c:ser>
          <c:idx val="1"/>
          <c:order val="1"/>
          <c:tx>
            <c:strRef>
              <c:f>BrandPerformance!$C$3</c:f>
              <c:strCache>
                <c:ptCount val="1"/>
                <c:pt idx="0">
                  <c:v>Sum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BrandPerformance!$A$4:$A$9</c:f>
              <c:strCache>
                <c:ptCount val="5"/>
                <c:pt idx="0">
                  <c:v>BMW</c:v>
                </c:pt>
                <c:pt idx="1">
                  <c:v>Ford</c:v>
                </c:pt>
                <c:pt idx="2">
                  <c:v>Honda</c:v>
                </c:pt>
                <c:pt idx="3">
                  <c:v>Hyundai</c:v>
                </c:pt>
                <c:pt idx="4">
                  <c:v>Toyota</c:v>
                </c:pt>
              </c:strCache>
            </c:strRef>
          </c:cat>
          <c:val>
            <c:numRef>
              <c:f>BrandPerformance!$C$4:$C$9</c:f>
              <c:numCache>
                <c:formatCode>General</c:formatCode>
                <c:ptCount val="5"/>
                <c:pt idx="0">
                  <c:v>240000</c:v>
                </c:pt>
                <c:pt idx="1">
                  <c:v>160000</c:v>
                </c:pt>
                <c:pt idx="2">
                  <c:v>112000</c:v>
                </c:pt>
                <c:pt idx="3">
                  <c:v>100000</c:v>
                </c:pt>
                <c:pt idx="4">
                  <c:v>120000</c:v>
                </c:pt>
              </c:numCache>
            </c:numRef>
          </c:val>
          <c:extLst>
            <c:ext xmlns:c16="http://schemas.microsoft.com/office/drawing/2014/chart" uri="{C3380CC4-5D6E-409C-BE32-E72D297353CC}">
              <c16:uniqueId val="{00000001-22FE-466C-B0E2-396CBDF5440E}"/>
            </c:ext>
          </c:extLst>
        </c:ser>
        <c:ser>
          <c:idx val="2"/>
          <c:order val="2"/>
          <c:tx>
            <c:strRef>
              <c:f>BrandPerformance!$D$3</c:f>
              <c:strCache>
                <c:ptCount val="1"/>
                <c:pt idx="0">
                  <c:v>Sum of Profit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BrandPerformance!$A$4:$A$9</c:f>
              <c:strCache>
                <c:ptCount val="5"/>
                <c:pt idx="0">
                  <c:v>BMW</c:v>
                </c:pt>
                <c:pt idx="1">
                  <c:v>Ford</c:v>
                </c:pt>
                <c:pt idx="2">
                  <c:v>Honda</c:v>
                </c:pt>
                <c:pt idx="3">
                  <c:v>Hyundai</c:v>
                </c:pt>
                <c:pt idx="4">
                  <c:v>Toyota</c:v>
                </c:pt>
              </c:strCache>
            </c:strRef>
          </c:cat>
          <c:val>
            <c:numRef>
              <c:f>BrandPerformance!$D$4:$D$9</c:f>
              <c:numCache>
                <c:formatCode>General</c:formatCode>
                <c:ptCount val="5"/>
                <c:pt idx="0">
                  <c:v>48000</c:v>
                </c:pt>
                <c:pt idx="1">
                  <c:v>28000</c:v>
                </c:pt>
                <c:pt idx="2">
                  <c:v>24000</c:v>
                </c:pt>
                <c:pt idx="3">
                  <c:v>20000</c:v>
                </c:pt>
                <c:pt idx="4">
                  <c:v>24000</c:v>
                </c:pt>
              </c:numCache>
            </c:numRef>
          </c:val>
          <c:extLst>
            <c:ext xmlns:c16="http://schemas.microsoft.com/office/drawing/2014/chart" uri="{C3380CC4-5D6E-409C-BE32-E72D297353CC}">
              <c16:uniqueId val="{00000002-22FE-466C-B0E2-396CBDF5440E}"/>
            </c:ext>
          </c:extLst>
        </c:ser>
        <c:dLbls>
          <c:showLegendKey val="0"/>
          <c:showVal val="0"/>
          <c:showCatName val="0"/>
          <c:showSerName val="0"/>
          <c:showPercent val="0"/>
          <c:showBubbleSize val="0"/>
        </c:dLbls>
        <c:gapWidth val="150"/>
        <c:shape val="box"/>
        <c:axId val="1838891535"/>
        <c:axId val="1838910671"/>
        <c:axId val="0"/>
      </c:bar3DChart>
      <c:catAx>
        <c:axId val="183889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910671"/>
        <c:crosses val="autoZero"/>
        <c:auto val="1"/>
        <c:lblAlgn val="ctr"/>
        <c:lblOffset val="100"/>
        <c:noMultiLvlLbl val="0"/>
      </c:catAx>
      <c:valAx>
        <c:axId val="183891067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89153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Analytics.xlsx]ModelPerformance!PivotTable7</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ModelPerformance!$B$3</c:f>
              <c:strCache>
                <c:ptCount val="1"/>
                <c:pt idx="0">
                  <c:v>Sum of Units Sold</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ModelPerformance!$A$4:$A$9</c:f>
              <c:strCache>
                <c:ptCount val="5"/>
                <c:pt idx="0">
                  <c:v>CR-V</c:v>
                </c:pt>
                <c:pt idx="1">
                  <c:v>F-150</c:v>
                </c:pt>
                <c:pt idx="2">
                  <c:v>RAV4</c:v>
                </c:pt>
                <c:pt idx="3">
                  <c:v>Tucson</c:v>
                </c:pt>
                <c:pt idx="4">
                  <c:v>X5</c:v>
                </c:pt>
              </c:strCache>
            </c:strRef>
          </c:cat>
          <c:val>
            <c:numRef>
              <c:f>ModelPerformance!$B$4:$B$9</c:f>
              <c:numCache>
                <c:formatCode>General</c:formatCode>
                <c:ptCount val="5"/>
                <c:pt idx="0">
                  <c:v>4</c:v>
                </c:pt>
                <c:pt idx="1">
                  <c:v>4</c:v>
                </c:pt>
                <c:pt idx="2">
                  <c:v>4</c:v>
                </c:pt>
                <c:pt idx="3">
                  <c:v>4</c:v>
                </c:pt>
                <c:pt idx="4">
                  <c:v>4</c:v>
                </c:pt>
              </c:numCache>
            </c:numRef>
          </c:val>
          <c:extLst>
            <c:ext xmlns:c16="http://schemas.microsoft.com/office/drawing/2014/chart" uri="{C3380CC4-5D6E-409C-BE32-E72D297353CC}">
              <c16:uniqueId val="{00000000-411E-4064-84D8-FEBE964AB004}"/>
            </c:ext>
          </c:extLst>
        </c:ser>
        <c:ser>
          <c:idx val="1"/>
          <c:order val="1"/>
          <c:tx>
            <c:strRef>
              <c:f>ModelPerformance!$C$3</c:f>
              <c:strCache>
                <c:ptCount val="1"/>
                <c:pt idx="0">
                  <c:v>Sum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ModelPerformance!$A$4:$A$9</c:f>
              <c:strCache>
                <c:ptCount val="5"/>
                <c:pt idx="0">
                  <c:v>CR-V</c:v>
                </c:pt>
                <c:pt idx="1">
                  <c:v>F-150</c:v>
                </c:pt>
                <c:pt idx="2">
                  <c:v>RAV4</c:v>
                </c:pt>
                <c:pt idx="3">
                  <c:v>Tucson</c:v>
                </c:pt>
                <c:pt idx="4">
                  <c:v>X5</c:v>
                </c:pt>
              </c:strCache>
            </c:strRef>
          </c:cat>
          <c:val>
            <c:numRef>
              <c:f>ModelPerformance!$C$4:$C$9</c:f>
              <c:numCache>
                <c:formatCode>General</c:formatCode>
                <c:ptCount val="5"/>
                <c:pt idx="0">
                  <c:v>112000</c:v>
                </c:pt>
                <c:pt idx="1">
                  <c:v>160000</c:v>
                </c:pt>
                <c:pt idx="2">
                  <c:v>120000</c:v>
                </c:pt>
                <c:pt idx="3">
                  <c:v>100000</c:v>
                </c:pt>
                <c:pt idx="4">
                  <c:v>240000</c:v>
                </c:pt>
              </c:numCache>
            </c:numRef>
          </c:val>
          <c:extLst>
            <c:ext xmlns:c16="http://schemas.microsoft.com/office/drawing/2014/chart" uri="{C3380CC4-5D6E-409C-BE32-E72D297353CC}">
              <c16:uniqueId val="{00000001-411E-4064-84D8-FEBE964AB004}"/>
            </c:ext>
          </c:extLst>
        </c:ser>
        <c:ser>
          <c:idx val="2"/>
          <c:order val="2"/>
          <c:tx>
            <c:strRef>
              <c:f>ModelPerformance!$D$3</c:f>
              <c:strCache>
                <c:ptCount val="1"/>
                <c:pt idx="0">
                  <c:v>Sum of Profit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ModelPerformance!$A$4:$A$9</c:f>
              <c:strCache>
                <c:ptCount val="5"/>
                <c:pt idx="0">
                  <c:v>CR-V</c:v>
                </c:pt>
                <c:pt idx="1">
                  <c:v>F-150</c:v>
                </c:pt>
                <c:pt idx="2">
                  <c:v>RAV4</c:v>
                </c:pt>
                <c:pt idx="3">
                  <c:v>Tucson</c:v>
                </c:pt>
                <c:pt idx="4">
                  <c:v>X5</c:v>
                </c:pt>
              </c:strCache>
            </c:strRef>
          </c:cat>
          <c:val>
            <c:numRef>
              <c:f>ModelPerformance!$D$4:$D$9</c:f>
              <c:numCache>
                <c:formatCode>General</c:formatCode>
                <c:ptCount val="5"/>
                <c:pt idx="0">
                  <c:v>24000</c:v>
                </c:pt>
                <c:pt idx="1">
                  <c:v>28000</c:v>
                </c:pt>
                <c:pt idx="2">
                  <c:v>24000</c:v>
                </c:pt>
                <c:pt idx="3">
                  <c:v>20000</c:v>
                </c:pt>
                <c:pt idx="4">
                  <c:v>48000</c:v>
                </c:pt>
              </c:numCache>
            </c:numRef>
          </c:val>
          <c:extLst>
            <c:ext xmlns:c16="http://schemas.microsoft.com/office/drawing/2014/chart" uri="{C3380CC4-5D6E-409C-BE32-E72D297353CC}">
              <c16:uniqueId val="{00000002-411E-4064-84D8-FEBE964AB004}"/>
            </c:ext>
          </c:extLst>
        </c:ser>
        <c:dLbls>
          <c:showLegendKey val="0"/>
          <c:showVal val="0"/>
          <c:showCatName val="0"/>
          <c:showSerName val="0"/>
          <c:showPercent val="0"/>
          <c:showBubbleSize val="0"/>
        </c:dLbls>
        <c:gapWidth val="150"/>
        <c:shape val="box"/>
        <c:axId val="1756823871"/>
        <c:axId val="1756824703"/>
        <c:axId val="0"/>
      </c:bar3DChart>
      <c:catAx>
        <c:axId val="1756823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824703"/>
        <c:crosses val="autoZero"/>
        <c:auto val="1"/>
        <c:lblAlgn val="ctr"/>
        <c:lblOffset val="100"/>
        <c:noMultiLvlLbl val="0"/>
      </c:catAx>
      <c:valAx>
        <c:axId val="175682470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68238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Analytics.xlsx]SalesTrends!PivotTable2</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SalesTrends!$B$3</c:f>
              <c:strCache>
                <c:ptCount val="1"/>
                <c:pt idx="0">
                  <c:v>Sum of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SalesTrends!$A$4:$A$9</c:f>
              <c:strCache>
                <c:ptCount val="5"/>
                <c:pt idx="0">
                  <c:v>January</c:v>
                </c:pt>
                <c:pt idx="1">
                  <c:v>February</c:v>
                </c:pt>
                <c:pt idx="2">
                  <c:v>March</c:v>
                </c:pt>
                <c:pt idx="3">
                  <c:v>April</c:v>
                </c:pt>
                <c:pt idx="4">
                  <c:v>May</c:v>
                </c:pt>
              </c:strCache>
            </c:strRef>
          </c:cat>
          <c:val>
            <c:numRef>
              <c:f>SalesTrends!$B$4:$B$9</c:f>
              <c:numCache>
                <c:formatCode>General</c:formatCode>
                <c:ptCount val="5"/>
                <c:pt idx="0">
                  <c:v>123000</c:v>
                </c:pt>
                <c:pt idx="1">
                  <c:v>158000</c:v>
                </c:pt>
                <c:pt idx="2">
                  <c:v>143000</c:v>
                </c:pt>
                <c:pt idx="3">
                  <c:v>155000</c:v>
                </c:pt>
                <c:pt idx="4">
                  <c:v>153000</c:v>
                </c:pt>
              </c:numCache>
            </c:numRef>
          </c:val>
          <c:smooth val="0"/>
          <c:extLst>
            <c:ext xmlns:c16="http://schemas.microsoft.com/office/drawing/2014/chart" uri="{C3380CC4-5D6E-409C-BE32-E72D297353CC}">
              <c16:uniqueId val="{00000000-F65F-46DF-A5CC-B2F54FD28671}"/>
            </c:ext>
          </c:extLst>
        </c:ser>
        <c:ser>
          <c:idx val="1"/>
          <c:order val="1"/>
          <c:tx>
            <c:strRef>
              <c:f>SalesTrends!$C$3</c:f>
              <c:strCache>
                <c:ptCount val="1"/>
                <c:pt idx="0">
                  <c:v>Sum of Units 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SalesTrends!$A$4:$A$9</c:f>
              <c:strCache>
                <c:ptCount val="5"/>
                <c:pt idx="0">
                  <c:v>January</c:v>
                </c:pt>
                <c:pt idx="1">
                  <c:v>February</c:v>
                </c:pt>
                <c:pt idx="2">
                  <c:v>March</c:v>
                </c:pt>
                <c:pt idx="3">
                  <c:v>April</c:v>
                </c:pt>
                <c:pt idx="4">
                  <c:v>May</c:v>
                </c:pt>
              </c:strCache>
            </c:strRef>
          </c:cat>
          <c:val>
            <c:numRef>
              <c:f>SalesTrends!$C$4:$C$9</c:f>
              <c:numCache>
                <c:formatCode>General</c:formatCode>
                <c:ptCount val="5"/>
                <c:pt idx="0">
                  <c:v>4</c:v>
                </c:pt>
                <c:pt idx="1">
                  <c:v>4</c:v>
                </c:pt>
                <c:pt idx="2">
                  <c:v>4</c:v>
                </c:pt>
                <c:pt idx="3">
                  <c:v>4</c:v>
                </c:pt>
                <c:pt idx="4">
                  <c:v>4</c:v>
                </c:pt>
              </c:numCache>
            </c:numRef>
          </c:val>
          <c:smooth val="0"/>
          <c:extLst>
            <c:ext xmlns:c16="http://schemas.microsoft.com/office/drawing/2014/chart" uri="{C3380CC4-5D6E-409C-BE32-E72D297353CC}">
              <c16:uniqueId val="{00000001-F65F-46DF-A5CC-B2F54FD28671}"/>
            </c:ext>
          </c:extLst>
        </c:ser>
        <c:ser>
          <c:idx val="2"/>
          <c:order val="2"/>
          <c:tx>
            <c:strRef>
              <c:f>SalesTrends!$D$3</c:f>
              <c:strCache>
                <c:ptCount val="1"/>
                <c:pt idx="0">
                  <c:v>Sum of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SalesTrends!$A$4:$A$9</c:f>
              <c:strCache>
                <c:ptCount val="5"/>
                <c:pt idx="0">
                  <c:v>January</c:v>
                </c:pt>
                <c:pt idx="1">
                  <c:v>February</c:v>
                </c:pt>
                <c:pt idx="2">
                  <c:v>March</c:v>
                </c:pt>
                <c:pt idx="3">
                  <c:v>April</c:v>
                </c:pt>
                <c:pt idx="4">
                  <c:v>May</c:v>
                </c:pt>
              </c:strCache>
            </c:strRef>
          </c:cat>
          <c:val>
            <c:numRef>
              <c:f>SalesTrends!$D$4:$D$9</c:f>
              <c:numCache>
                <c:formatCode>General</c:formatCode>
                <c:ptCount val="5"/>
                <c:pt idx="0">
                  <c:v>24000</c:v>
                </c:pt>
                <c:pt idx="1">
                  <c:v>31000</c:v>
                </c:pt>
                <c:pt idx="2">
                  <c:v>29000</c:v>
                </c:pt>
                <c:pt idx="3">
                  <c:v>30000</c:v>
                </c:pt>
                <c:pt idx="4">
                  <c:v>30000</c:v>
                </c:pt>
              </c:numCache>
            </c:numRef>
          </c:val>
          <c:smooth val="0"/>
          <c:extLst>
            <c:ext xmlns:c16="http://schemas.microsoft.com/office/drawing/2014/chart" uri="{C3380CC4-5D6E-409C-BE32-E72D297353CC}">
              <c16:uniqueId val="{00000002-F65F-46DF-A5CC-B2F54FD28671}"/>
            </c:ext>
          </c:extLst>
        </c:ser>
        <c:dLbls>
          <c:showLegendKey val="0"/>
          <c:showVal val="0"/>
          <c:showCatName val="0"/>
          <c:showSerName val="0"/>
          <c:showPercent val="0"/>
          <c:showBubbleSize val="0"/>
        </c:dLbls>
        <c:marker val="1"/>
        <c:smooth val="0"/>
        <c:axId val="1838899439"/>
        <c:axId val="1838911503"/>
      </c:lineChart>
      <c:catAx>
        <c:axId val="1838899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911503"/>
        <c:crosses val="autoZero"/>
        <c:auto val="1"/>
        <c:lblAlgn val="ctr"/>
        <c:lblOffset val="100"/>
        <c:noMultiLvlLbl val="0"/>
      </c:catAx>
      <c:valAx>
        <c:axId val="1838911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88994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Analytics.xlsx]RegionalSales!PivotTable3</c:name>
    <c:fmtId val="6"/>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9"/>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RegionalSales!$B$3</c:f>
              <c:strCache>
                <c:ptCount val="1"/>
                <c:pt idx="0">
                  <c:v>Sum of Revenue</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2E-47F6-B7A4-D5B4C15BC1EB}"/>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2E-47F6-B7A4-D5B4C15BC1EB}"/>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2E-47F6-B7A4-D5B4C15BC1EB}"/>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2E-47F6-B7A4-D5B4C15BC1EB}"/>
              </c:ext>
            </c:extLst>
          </c:dPt>
          <c:cat>
            <c:strRef>
              <c:f>RegionalSales!$A$4:$A$8</c:f>
              <c:strCache>
                <c:ptCount val="4"/>
                <c:pt idx="0">
                  <c:v>East</c:v>
                </c:pt>
                <c:pt idx="1">
                  <c:v>North</c:v>
                </c:pt>
                <c:pt idx="2">
                  <c:v>South</c:v>
                </c:pt>
                <c:pt idx="3">
                  <c:v>West</c:v>
                </c:pt>
              </c:strCache>
            </c:strRef>
          </c:cat>
          <c:val>
            <c:numRef>
              <c:f>RegionalSales!$B$4:$B$8</c:f>
              <c:numCache>
                <c:formatCode>General</c:formatCode>
                <c:ptCount val="4"/>
                <c:pt idx="0">
                  <c:v>183000</c:v>
                </c:pt>
                <c:pt idx="1">
                  <c:v>183000</c:v>
                </c:pt>
                <c:pt idx="2">
                  <c:v>183000</c:v>
                </c:pt>
                <c:pt idx="3">
                  <c:v>183000</c:v>
                </c:pt>
              </c:numCache>
            </c:numRef>
          </c:val>
          <c:extLst>
            <c:ext xmlns:c16="http://schemas.microsoft.com/office/drawing/2014/chart" uri="{C3380CC4-5D6E-409C-BE32-E72D297353CC}">
              <c16:uniqueId val="{00000008-632E-47F6-B7A4-D5B4C15BC1EB}"/>
            </c:ext>
          </c:extLst>
        </c:ser>
        <c:ser>
          <c:idx val="1"/>
          <c:order val="1"/>
          <c:tx>
            <c:strRef>
              <c:f>RegionalSales!$C$3</c:f>
              <c:strCache>
                <c:ptCount val="1"/>
                <c:pt idx="0">
                  <c:v>Sum of Units Sold</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32E-47F6-B7A4-D5B4C15BC1EB}"/>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32E-47F6-B7A4-D5B4C15BC1EB}"/>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32E-47F6-B7A4-D5B4C15BC1EB}"/>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32E-47F6-B7A4-D5B4C15BC1EB}"/>
              </c:ext>
            </c:extLst>
          </c:dPt>
          <c:cat>
            <c:strRef>
              <c:f>RegionalSales!$A$4:$A$8</c:f>
              <c:strCache>
                <c:ptCount val="4"/>
                <c:pt idx="0">
                  <c:v>East</c:v>
                </c:pt>
                <c:pt idx="1">
                  <c:v>North</c:v>
                </c:pt>
                <c:pt idx="2">
                  <c:v>South</c:v>
                </c:pt>
                <c:pt idx="3">
                  <c:v>West</c:v>
                </c:pt>
              </c:strCache>
            </c:strRef>
          </c:cat>
          <c:val>
            <c:numRef>
              <c:f>RegionalSales!$C$4:$C$8</c:f>
              <c:numCache>
                <c:formatCode>General</c:formatCode>
                <c:ptCount val="4"/>
                <c:pt idx="0">
                  <c:v>5</c:v>
                </c:pt>
                <c:pt idx="1">
                  <c:v>5</c:v>
                </c:pt>
                <c:pt idx="2">
                  <c:v>5</c:v>
                </c:pt>
                <c:pt idx="3">
                  <c:v>5</c:v>
                </c:pt>
              </c:numCache>
            </c:numRef>
          </c:val>
          <c:extLst>
            <c:ext xmlns:c16="http://schemas.microsoft.com/office/drawing/2014/chart" uri="{C3380CC4-5D6E-409C-BE32-E72D297353CC}">
              <c16:uniqueId val="{00000011-632E-47F6-B7A4-D5B4C15BC1EB}"/>
            </c:ext>
          </c:extLst>
        </c:ser>
        <c:ser>
          <c:idx val="2"/>
          <c:order val="2"/>
          <c:tx>
            <c:strRef>
              <c:f>RegionalSales!$D$3</c:f>
              <c:strCache>
                <c:ptCount val="1"/>
                <c:pt idx="0">
                  <c:v>Sum of Profit</c:v>
                </c:pt>
              </c:strCache>
            </c:strRef>
          </c:tx>
          <c:dPt>
            <c:idx val="0"/>
            <c:bubble3D val="0"/>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32E-47F6-B7A4-D5B4C15BC1EB}"/>
              </c:ext>
            </c:extLst>
          </c:dPt>
          <c:dPt>
            <c:idx val="1"/>
            <c:bubble3D val="0"/>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32E-47F6-B7A4-D5B4C15BC1EB}"/>
              </c:ext>
            </c:extLst>
          </c:dPt>
          <c:dPt>
            <c:idx val="2"/>
            <c:bubble3D val="0"/>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32E-47F6-B7A4-D5B4C15BC1EB}"/>
              </c:ext>
            </c:extLst>
          </c:dPt>
          <c:dPt>
            <c:idx val="3"/>
            <c:bubble3D val="0"/>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32E-47F6-B7A4-D5B4C15BC1EB}"/>
              </c:ext>
            </c:extLst>
          </c:dPt>
          <c:cat>
            <c:strRef>
              <c:f>RegionalSales!$A$4:$A$8</c:f>
              <c:strCache>
                <c:ptCount val="4"/>
                <c:pt idx="0">
                  <c:v>East</c:v>
                </c:pt>
                <c:pt idx="1">
                  <c:v>North</c:v>
                </c:pt>
                <c:pt idx="2">
                  <c:v>South</c:v>
                </c:pt>
                <c:pt idx="3">
                  <c:v>West</c:v>
                </c:pt>
              </c:strCache>
            </c:strRef>
          </c:cat>
          <c:val>
            <c:numRef>
              <c:f>RegionalSales!$D$4:$D$8</c:f>
              <c:numCache>
                <c:formatCode>General</c:formatCode>
                <c:ptCount val="4"/>
                <c:pt idx="0">
                  <c:v>36000</c:v>
                </c:pt>
                <c:pt idx="1">
                  <c:v>36000</c:v>
                </c:pt>
                <c:pt idx="2">
                  <c:v>36000</c:v>
                </c:pt>
                <c:pt idx="3">
                  <c:v>36000</c:v>
                </c:pt>
              </c:numCache>
            </c:numRef>
          </c:val>
          <c:extLst>
            <c:ext xmlns:c16="http://schemas.microsoft.com/office/drawing/2014/chart" uri="{C3380CC4-5D6E-409C-BE32-E72D297353CC}">
              <c16:uniqueId val="{0000001A-632E-47F6-B7A4-D5B4C15BC1E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Analytics.xlsx]ServiceAnalytics!PivotTable6</c:name>
    <c:fmtId val="2"/>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areaChart>
        <c:grouping val="stacked"/>
        <c:varyColors val="0"/>
        <c:ser>
          <c:idx val="0"/>
          <c:order val="0"/>
          <c:tx>
            <c:strRef>
              <c:f>ServiceAnalytics!$B$3</c:f>
              <c:strCache>
                <c:ptCount val="1"/>
                <c:pt idx="0">
                  <c:v>Sum of Service Cost</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ServiceAnalytics!$A$4:$A$9</c:f>
              <c:strCache>
                <c:ptCount val="5"/>
                <c:pt idx="0">
                  <c:v>Brake Service</c:v>
                </c:pt>
                <c:pt idx="1">
                  <c:v>Engine Check</c:v>
                </c:pt>
                <c:pt idx="2">
                  <c:v>Full Service</c:v>
                </c:pt>
                <c:pt idx="3">
                  <c:v>General Service</c:v>
                </c:pt>
                <c:pt idx="4">
                  <c:v>Oil Change</c:v>
                </c:pt>
              </c:strCache>
            </c:strRef>
          </c:cat>
          <c:val>
            <c:numRef>
              <c:f>ServiceAnalytics!$B$4:$B$9</c:f>
              <c:numCache>
                <c:formatCode>General</c:formatCode>
                <c:ptCount val="5"/>
                <c:pt idx="0">
                  <c:v>1050</c:v>
                </c:pt>
                <c:pt idx="1">
                  <c:v>900</c:v>
                </c:pt>
                <c:pt idx="2">
                  <c:v>2000</c:v>
                </c:pt>
                <c:pt idx="3">
                  <c:v>750</c:v>
                </c:pt>
                <c:pt idx="4">
                  <c:v>1050</c:v>
                </c:pt>
              </c:numCache>
            </c:numRef>
          </c:val>
          <c:extLst>
            <c:ext xmlns:c16="http://schemas.microsoft.com/office/drawing/2014/chart" uri="{C3380CC4-5D6E-409C-BE32-E72D297353CC}">
              <c16:uniqueId val="{00000000-CA96-4B15-BFB8-184004C32AE2}"/>
            </c:ext>
          </c:extLst>
        </c:ser>
        <c:ser>
          <c:idx val="1"/>
          <c:order val="1"/>
          <c:tx>
            <c:strRef>
              <c:f>ServiceAnalytics!$C$3</c:f>
              <c:strCache>
                <c:ptCount val="1"/>
                <c:pt idx="0">
                  <c:v>Sum of CSAT 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ServiceAnalytics!$A$4:$A$9</c:f>
              <c:strCache>
                <c:ptCount val="5"/>
                <c:pt idx="0">
                  <c:v>Brake Service</c:v>
                </c:pt>
                <c:pt idx="1">
                  <c:v>Engine Check</c:v>
                </c:pt>
                <c:pt idx="2">
                  <c:v>Full Service</c:v>
                </c:pt>
                <c:pt idx="3">
                  <c:v>General Service</c:v>
                </c:pt>
                <c:pt idx="4">
                  <c:v>Oil Change</c:v>
                </c:pt>
              </c:strCache>
            </c:strRef>
          </c:cat>
          <c:val>
            <c:numRef>
              <c:f>ServiceAnalytics!$C$4:$C$9</c:f>
              <c:numCache>
                <c:formatCode>General</c:formatCode>
                <c:ptCount val="5"/>
                <c:pt idx="0">
                  <c:v>13.799999999999999</c:v>
                </c:pt>
                <c:pt idx="1">
                  <c:v>13.200000000000001</c:v>
                </c:pt>
                <c:pt idx="2">
                  <c:v>19.5</c:v>
                </c:pt>
                <c:pt idx="3">
                  <c:v>13.3</c:v>
                </c:pt>
                <c:pt idx="4">
                  <c:v>32.6</c:v>
                </c:pt>
              </c:numCache>
            </c:numRef>
          </c:val>
          <c:extLst>
            <c:ext xmlns:c16="http://schemas.microsoft.com/office/drawing/2014/chart" uri="{C3380CC4-5D6E-409C-BE32-E72D297353CC}">
              <c16:uniqueId val="{00000001-CA96-4B15-BFB8-184004C32AE2}"/>
            </c:ext>
          </c:extLst>
        </c:ser>
        <c:ser>
          <c:idx val="2"/>
          <c:order val="2"/>
          <c:tx>
            <c:strRef>
              <c:f>ServiceAnalytics!$D$3</c:f>
              <c:strCache>
                <c:ptCount val="1"/>
                <c:pt idx="0">
                  <c:v>Count of Service Type</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ServiceAnalytics!$A$4:$A$9</c:f>
              <c:strCache>
                <c:ptCount val="5"/>
                <c:pt idx="0">
                  <c:v>Brake Service</c:v>
                </c:pt>
                <c:pt idx="1">
                  <c:v>Engine Check</c:v>
                </c:pt>
                <c:pt idx="2">
                  <c:v>Full Service</c:v>
                </c:pt>
                <c:pt idx="3">
                  <c:v>General Service</c:v>
                </c:pt>
                <c:pt idx="4">
                  <c:v>Oil Change</c:v>
                </c:pt>
              </c:strCache>
            </c:strRef>
          </c:cat>
          <c:val>
            <c:numRef>
              <c:f>ServiceAnalytics!$D$4:$D$9</c:f>
              <c:numCache>
                <c:formatCode>General</c:formatCode>
                <c:ptCount val="5"/>
                <c:pt idx="0">
                  <c:v>3</c:v>
                </c:pt>
                <c:pt idx="1">
                  <c:v>3</c:v>
                </c:pt>
                <c:pt idx="2">
                  <c:v>4</c:v>
                </c:pt>
                <c:pt idx="3">
                  <c:v>3</c:v>
                </c:pt>
                <c:pt idx="4">
                  <c:v>7</c:v>
                </c:pt>
              </c:numCache>
            </c:numRef>
          </c:val>
          <c:extLst>
            <c:ext xmlns:c16="http://schemas.microsoft.com/office/drawing/2014/chart" uri="{C3380CC4-5D6E-409C-BE32-E72D297353CC}">
              <c16:uniqueId val="{00000002-CA96-4B15-BFB8-184004C32AE2}"/>
            </c:ext>
          </c:extLst>
        </c:ser>
        <c:dLbls>
          <c:showLegendKey val="0"/>
          <c:showVal val="0"/>
          <c:showCatName val="0"/>
          <c:showSerName val="0"/>
          <c:showPercent val="0"/>
          <c:showBubbleSize val="0"/>
        </c:dLbls>
        <c:axId val="227608960"/>
        <c:axId val="227609376"/>
      </c:areaChart>
      <c:catAx>
        <c:axId val="2276089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7609376"/>
        <c:crosses val="autoZero"/>
        <c:auto val="1"/>
        <c:lblAlgn val="ctr"/>
        <c:lblOffset val="100"/>
        <c:noMultiLvlLbl val="0"/>
      </c:catAx>
      <c:valAx>
        <c:axId val="227609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7608960"/>
        <c:crosses val="autoZero"/>
        <c:crossBetween val="midCat"/>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[Automobile Sales Analytics.xlsx]Revenue&amp;Profit!PivotTable9</c:name>
    <c:fmtId val="9"/>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'Revenue&amp;Profit'!$B$3</c:f>
              <c:strCache>
                <c:ptCount val="1"/>
                <c:pt idx="0">
                  <c:v>Sum of Revenue</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'Revenue&amp;Profit'!$A$4:$A$9</c:f>
              <c:strCache>
                <c:ptCount val="5"/>
                <c:pt idx="0">
                  <c:v>BMW</c:v>
                </c:pt>
                <c:pt idx="1">
                  <c:v>Ford</c:v>
                </c:pt>
                <c:pt idx="2">
                  <c:v>Honda</c:v>
                </c:pt>
                <c:pt idx="3">
                  <c:v>Hyundai</c:v>
                </c:pt>
                <c:pt idx="4">
                  <c:v>Toyota</c:v>
                </c:pt>
              </c:strCache>
            </c:strRef>
          </c:cat>
          <c:val>
            <c:numRef>
              <c:f>'Revenue&amp;Profit'!$B$4:$B$9</c:f>
              <c:numCache>
                <c:formatCode>General</c:formatCode>
                <c:ptCount val="5"/>
                <c:pt idx="0">
                  <c:v>240000</c:v>
                </c:pt>
                <c:pt idx="1">
                  <c:v>160000</c:v>
                </c:pt>
                <c:pt idx="2">
                  <c:v>112000</c:v>
                </c:pt>
                <c:pt idx="3">
                  <c:v>100000</c:v>
                </c:pt>
                <c:pt idx="4">
                  <c:v>120000</c:v>
                </c:pt>
              </c:numCache>
            </c:numRef>
          </c:val>
          <c:extLst>
            <c:ext xmlns:c16="http://schemas.microsoft.com/office/drawing/2014/chart" uri="{C3380CC4-5D6E-409C-BE32-E72D297353CC}">
              <c16:uniqueId val="{00000000-EBB2-4BEE-A610-5108EDF1F19A}"/>
            </c:ext>
          </c:extLst>
        </c:ser>
        <c:ser>
          <c:idx val="1"/>
          <c:order val="1"/>
          <c:tx>
            <c:strRef>
              <c:f>'Revenue&amp;Profit'!$C$3</c:f>
              <c:strCache>
                <c:ptCount val="1"/>
                <c:pt idx="0">
                  <c:v>Sum of Cost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'Revenue&amp;Profit'!$A$4:$A$9</c:f>
              <c:strCache>
                <c:ptCount val="5"/>
                <c:pt idx="0">
                  <c:v>BMW</c:v>
                </c:pt>
                <c:pt idx="1">
                  <c:v>Ford</c:v>
                </c:pt>
                <c:pt idx="2">
                  <c:v>Honda</c:v>
                </c:pt>
                <c:pt idx="3">
                  <c:v>Hyundai</c:v>
                </c:pt>
                <c:pt idx="4">
                  <c:v>Toyota</c:v>
                </c:pt>
              </c:strCache>
            </c:strRef>
          </c:cat>
          <c:val>
            <c:numRef>
              <c:f>'Revenue&amp;Profit'!$C$4:$C$9</c:f>
              <c:numCache>
                <c:formatCode>General</c:formatCode>
                <c:ptCount val="5"/>
                <c:pt idx="0">
                  <c:v>192000</c:v>
                </c:pt>
                <c:pt idx="1">
                  <c:v>132000</c:v>
                </c:pt>
                <c:pt idx="2">
                  <c:v>88000</c:v>
                </c:pt>
                <c:pt idx="3">
                  <c:v>80000</c:v>
                </c:pt>
                <c:pt idx="4">
                  <c:v>96000</c:v>
                </c:pt>
              </c:numCache>
            </c:numRef>
          </c:val>
          <c:extLst>
            <c:ext xmlns:c16="http://schemas.microsoft.com/office/drawing/2014/chart" uri="{C3380CC4-5D6E-409C-BE32-E72D297353CC}">
              <c16:uniqueId val="{00000001-EBB2-4BEE-A610-5108EDF1F19A}"/>
            </c:ext>
          </c:extLst>
        </c:ser>
        <c:ser>
          <c:idx val="2"/>
          <c:order val="2"/>
          <c:tx>
            <c:strRef>
              <c:f>'Revenue&amp;Profit'!$D$3</c:f>
              <c:strCache>
                <c:ptCount val="1"/>
                <c:pt idx="0">
                  <c:v>Sum of Profit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'Revenue&amp;Profit'!$A$4:$A$9</c:f>
              <c:strCache>
                <c:ptCount val="5"/>
                <c:pt idx="0">
                  <c:v>BMW</c:v>
                </c:pt>
                <c:pt idx="1">
                  <c:v>Ford</c:v>
                </c:pt>
                <c:pt idx="2">
                  <c:v>Honda</c:v>
                </c:pt>
                <c:pt idx="3">
                  <c:v>Hyundai</c:v>
                </c:pt>
                <c:pt idx="4">
                  <c:v>Toyota</c:v>
                </c:pt>
              </c:strCache>
            </c:strRef>
          </c:cat>
          <c:val>
            <c:numRef>
              <c:f>'Revenue&amp;Profit'!$D$4:$D$9</c:f>
              <c:numCache>
                <c:formatCode>General</c:formatCode>
                <c:ptCount val="5"/>
                <c:pt idx="0">
                  <c:v>48000</c:v>
                </c:pt>
                <c:pt idx="1">
                  <c:v>28000</c:v>
                </c:pt>
                <c:pt idx="2">
                  <c:v>24000</c:v>
                </c:pt>
                <c:pt idx="3">
                  <c:v>20000</c:v>
                </c:pt>
                <c:pt idx="4">
                  <c:v>24000</c:v>
                </c:pt>
              </c:numCache>
            </c:numRef>
          </c:val>
          <c:extLst>
            <c:ext xmlns:c16="http://schemas.microsoft.com/office/drawing/2014/chart" uri="{C3380CC4-5D6E-409C-BE32-E72D297353CC}">
              <c16:uniqueId val="{00000002-EBB2-4BEE-A610-5108EDF1F19A}"/>
            </c:ext>
          </c:extLst>
        </c:ser>
        <c:dLbls>
          <c:showLegendKey val="0"/>
          <c:showVal val="0"/>
          <c:showCatName val="0"/>
          <c:showSerName val="0"/>
          <c:showPercent val="0"/>
          <c:showBubbleSize val="0"/>
        </c:dLbls>
        <c:gapWidth val="150"/>
        <c:shape val="box"/>
        <c:axId val="371801104"/>
        <c:axId val="371799024"/>
        <c:axId val="0"/>
      </c:bar3DChart>
      <c:catAx>
        <c:axId val="37180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799024"/>
        <c:crosses val="autoZero"/>
        <c:auto val="1"/>
        <c:lblAlgn val="ctr"/>
        <c:lblOffset val="100"/>
        <c:noMultiLvlLbl val="0"/>
      </c:catAx>
      <c:valAx>
        <c:axId val="3717990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180110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Analytics.xlsx]BrandPerformance!PivotTable11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Brand</a:t>
            </a:r>
            <a:endParaRPr lang="en-IN"/>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BrandPerformance!$G$3</c:f>
              <c:strCache>
                <c:ptCount val="1"/>
                <c:pt idx="0">
                  <c:v>Total</c:v>
                </c:pt>
              </c:strCache>
            </c:strRef>
          </c:tx>
          <c:spPr>
            <a:solidFill>
              <a:schemeClr val="accent1"/>
            </a:solidFill>
            <a:ln>
              <a:noFill/>
            </a:ln>
            <a:effectLst/>
          </c:spPr>
          <c:invertIfNegative val="0"/>
          <c:cat>
            <c:strRef>
              <c:f>BrandPerformance!$F$4:$F$9</c:f>
              <c:strCache>
                <c:ptCount val="5"/>
                <c:pt idx="0">
                  <c:v>BMW</c:v>
                </c:pt>
                <c:pt idx="1">
                  <c:v>Ford</c:v>
                </c:pt>
                <c:pt idx="2">
                  <c:v>Honda</c:v>
                </c:pt>
                <c:pt idx="3">
                  <c:v>Hyundai</c:v>
                </c:pt>
                <c:pt idx="4">
                  <c:v>Toyota</c:v>
                </c:pt>
              </c:strCache>
            </c:strRef>
          </c:cat>
          <c:val>
            <c:numRef>
              <c:f>BrandPerformance!$G$4:$G$9</c:f>
              <c:numCache>
                <c:formatCode>General</c:formatCode>
                <c:ptCount val="5"/>
                <c:pt idx="0">
                  <c:v>240000</c:v>
                </c:pt>
                <c:pt idx="1">
                  <c:v>160000</c:v>
                </c:pt>
                <c:pt idx="2">
                  <c:v>112000</c:v>
                </c:pt>
                <c:pt idx="3">
                  <c:v>100000</c:v>
                </c:pt>
                <c:pt idx="4">
                  <c:v>120000</c:v>
                </c:pt>
              </c:numCache>
            </c:numRef>
          </c:val>
          <c:extLst>
            <c:ext xmlns:c16="http://schemas.microsoft.com/office/drawing/2014/chart" uri="{C3380CC4-5D6E-409C-BE32-E72D297353CC}">
              <c16:uniqueId val="{00000002-8EEC-43C0-B6E7-A2D4C834FE2B}"/>
            </c:ext>
          </c:extLst>
        </c:ser>
        <c:dLbls>
          <c:showLegendKey val="0"/>
          <c:showVal val="0"/>
          <c:showCatName val="0"/>
          <c:showSerName val="0"/>
          <c:showPercent val="0"/>
          <c:showBubbleSize val="0"/>
        </c:dLbls>
        <c:gapWidth val="219"/>
        <c:overlap val="-27"/>
        <c:axId val="1572658240"/>
        <c:axId val="1572676544"/>
      </c:barChart>
      <c:catAx>
        <c:axId val="15726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76544"/>
        <c:crosses val="autoZero"/>
        <c:auto val="1"/>
        <c:lblAlgn val="ctr"/>
        <c:lblOffset val="100"/>
        <c:noMultiLvlLbl val="0"/>
      </c:catAx>
      <c:valAx>
        <c:axId val="157267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58240"/>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Analytics.xlsx]BrandPerformance!PivotTable12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BrandPerformance!$B$13</c:f>
              <c:strCache>
                <c:ptCount val="1"/>
                <c:pt idx="0">
                  <c:v>Total</c:v>
                </c:pt>
              </c:strCache>
            </c:strRef>
          </c:tx>
          <c:spPr>
            <a:solidFill>
              <a:schemeClr val="accent1"/>
            </a:solidFill>
            <a:ln>
              <a:noFill/>
            </a:ln>
            <a:effectLst/>
          </c:spPr>
          <c:invertIfNegative val="0"/>
          <c:cat>
            <c:strRef>
              <c:f>BrandPerformance!$A$14:$A$19</c:f>
              <c:strCache>
                <c:ptCount val="5"/>
                <c:pt idx="0">
                  <c:v>BMW</c:v>
                </c:pt>
                <c:pt idx="1">
                  <c:v>Ford</c:v>
                </c:pt>
                <c:pt idx="2">
                  <c:v>Honda</c:v>
                </c:pt>
                <c:pt idx="3">
                  <c:v>Hyundai</c:v>
                </c:pt>
                <c:pt idx="4">
                  <c:v>Toyota</c:v>
                </c:pt>
              </c:strCache>
            </c:strRef>
          </c:cat>
          <c:val>
            <c:numRef>
              <c:f>BrandPerformance!$B$14:$B$19</c:f>
              <c:numCache>
                <c:formatCode>General</c:formatCode>
                <c:ptCount val="5"/>
                <c:pt idx="0">
                  <c:v>4</c:v>
                </c:pt>
                <c:pt idx="1">
                  <c:v>4</c:v>
                </c:pt>
                <c:pt idx="2">
                  <c:v>4</c:v>
                </c:pt>
                <c:pt idx="3">
                  <c:v>4</c:v>
                </c:pt>
                <c:pt idx="4">
                  <c:v>4</c:v>
                </c:pt>
              </c:numCache>
            </c:numRef>
          </c:val>
          <c:extLst>
            <c:ext xmlns:c16="http://schemas.microsoft.com/office/drawing/2014/chart" uri="{C3380CC4-5D6E-409C-BE32-E72D297353CC}">
              <c16:uniqueId val="{00000000-6F04-4A45-BA0C-C04250835DC0}"/>
            </c:ext>
          </c:extLst>
        </c:ser>
        <c:dLbls>
          <c:showLegendKey val="0"/>
          <c:showVal val="0"/>
          <c:showCatName val="0"/>
          <c:showSerName val="0"/>
          <c:showPercent val="0"/>
          <c:showBubbleSize val="0"/>
        </c:dLbls>
        <c:gapWidth val="219"/>
        <c:overlap val="-27"/>
        <c:axId val="1572658240"/>
        <c:axId val="1572676544"/>
      </c:barChart>
      <c:catAx>
        <c:axId val="157265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76544"/>
        <c:crosses val="autoZero"/>
        <c:auto val="1"/>
        <c:lblAlgn val="ctr"/>
        <c:lblOffset val="100"/>
        <c:noMultiLvlLbl val="0"/>
      </c:catAx>
      <c:valAx>
        <c:axId val="157267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58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Analytics.xlsx]BrandPerformance!PivotTable13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BrandPerformance!$B$26</c:f>
              <c:strCache>
                <c:ptCount val="1"/>
                <c:pt idx="0">
                  <c:v>Total</c:v>
                </c:pt>
              </c:strCache>
            </c:strRef>
          </c:tx>
          <c:spPr>
            <a:solidFill>
              <a:schemeClr val="accent1"/>
            </a:solidFill>
            <a:ln>
              <a:noFill/>
            </a:ln>
            <a:effectLst/>
          </c:spPr>
          <c:invertIfNegative val="0"/>
          <c:cat>
            <c:strRef>
              <c:f>BrandPerformance!$A$27:$A$32</c:f>
              <c:strCache>
                <c:ptCount val="5"/>
                <c:pt idx="0">
                  <c:v>BMW</c:v>
                </c:pt>
                <c:pt idx="1">
                  <c:v>Ford</c:v>
                </c:pt>
                <c:pt idx="2">
                  <c:v>Honda</c:v>
                </c:pt>
                <c:pt idx="3">
                  <c:v>Hyundai</c:v>
                </c:pt>
                <c:pt idx="4">
                  <c:v>Toyota</c:v>
                </c:pt>
              </c:strCache>
            </c:strRef>
          </c:cat>
          <c:val>
            <c:numRef>
              <c:f>BrandPerformance!$B$27:$B$32</c:f>
              <c:numCache>
                <c:formatCode>General</c:formatCode>
                <c:ptCount val="5"/>
                <c:pt idx="0">
                  <c:v>48000</c:v>
                </c:pt>
                <c:pt idx="1">
                  <c:v>28000</c:v>
                </c:pt>
                <c:pt idx="2">
                  <c:v>24000</c:v>
                </c:pt>
                <c:pt idx="3">
                  <c:v>20000</c:v>
                </c:pt>
                <c:pt idx="4">
                  <c:v>24000</c:v>
                </c:pt>
              </c:numCache>
            </c:numRef>
          </c:val>
          <c:extLst>
            <c:ext xmlns:c16="http://schemas.microsoft.com/office/drawing/2014/chart" uri="{C3380CC4-5D6E-409C-BE32-E72D297353CC}">
              <c16:uniqueId val="{00000000-94B8-4C19-AFA9-11F446443C88}"/>
            </c:ext>
          </c:extLst>
        </c:ser>
        <c:dLbls>
          <c:showLegendKey val="0"/>
          <c:showVal val="0"/>
          <c:showCatName val="0"/>
          <c:showSerName val="0"/>
          <c:showPercent val="0"/>
          <c:showBubbleSize val="0"/>
        </c:dLbls>
        <c:gapWidth val="182"/>
        <c:axId val="1572674464"/>
        <c:axId val="1572676960"/>
      </c:barChart>
      <c:catAx>
        <c:axId val="157267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76960"/>
        <c:crosses val="autoZero"/>
        <c:auto val="1"/>
        <c:lblAlgn val="ctr"/>
        <c:lblOffset val="100"/>
        <c:noMultiLvlLbl val="0"/>
      </c:catAx>
      <c:valAx>
        <c:axId val="1572676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74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Analytics.xlsx]ModelPerformance!PivotTable14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ModelPerformance!$G$3</c:f>
              <c:strCache>
                <c:ptCount val="1"/>
                <c:pt idx="0">
                  <c:v>Total</c:v>
                </c:pt>
              </c:strCache>
            </c:strRef>
          </c:tx>
          <c:spPr>
            <a:solidFill>
              <a:schemeClr val="accent1"/>
            </a:solidFill>
            <a:ln>
              <a:noFill/>
            </a:ln>
            <a:effectLst/>
          </c:spPr>
          <c:invertIfNegative val="0"/>
          <c:cat>
            <c:strRef>
              <c:f>ModelPerformance!$F$4:$F$9</c:f>
              <c:strCache>
                <c:ptCount val="5"/>
                <c:pt idx="0">
                  <c:v>CR-V</c:v>
                </c:pt>
                <c:pt idx="1">
                  <c:v>F-150</c:v>
                </c:pt>
                <c:pt idx="2">
                  <c:v>RAV4</c:v>
                </c:pt>
                <c:pt idx="3">
                  <c:v>Tucson</c:v>
                </c:pt>
                <c:pt idx="4">
                  <c:v>X5</c:v>
                </c:pt>
              </c:strCache>
            </c:strRef>
          </c:cat>
          <c:val>
            <c:numRef>
              <c:f>ModelPerformance!$G$4:$G$9</c:f>
              <c:numCache>
                <c:formatCode>General</c:formatCode>
                <c:ptCount val="5"/>
                <c:pt idx="0">
                  <c:v>112000</c:v>
                </c:pt>
                <c:pt idx="1">
                  <c:v>160000</c:v>
                </c:pt>
                <c:pt idx="2">
                  <c:v>120000</c:v>
                </c:pt>
                <c:pt idx="3">
                  <c:v>100000</c:v>
                </c:pt>
                <c:pt idx="4">
                  <c:v>240000</c:v>
                </c:pt>
              </c:numCache>
            </c:numRef>
          </c:val>
          <c:extLst>
            <c:ext xmlns:c16="http://schemas.microsoft.com/office/drawing/2014/chart" uri="{C3380CC4-5D6E-409C-BE32-E72D297353CC}">
              <c16:uniqueId val="{00000000-D90F-408D-9A4F-D6667EE6B037}"/>
            </c:ext>
          </c:extLst>
        </c:ser>
        <c:dLbls>
          <c:showLegendKey val="0"/>
          <c:showVal val="0"/>
          <c:showCatName val="0"/>
          <c:showSerName val="0"/>
          <c:showPercent val="0"/>
          <c:showBubbleSize val="0"/>
        </c:dLbls>
        <c:gapWidth val="219"/>
        <c:overlap val="-27"/>
        <c:axId val="1571223296"/>
        <c:axId val="1571224544"/>
      </c:barChart>
      <c:catAx>
        <c:axId val="157122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24544"/>
        <c:crosses val="autoZero"/>
        <c:auto val="1"/>
        <c:lblAlgn val="ctr"/>
        <c:lblOffset val="100"/>
        <c:noMultiLvlLbl val="0"/>
      </c:catAx>
      <c:valAx>
        <c:axId val="157122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23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Analytics.xlsx]ModelPerformance!PivotTable15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ModelPerformance!$B$14</c:f>
              <c:strCache>
                <c:ptCount val="1"/>
                <c:pt idx="0">
                  <c:v>Total</c:v>
                </c:pt>
              </c:strCache>
            </c:strRef>
          </c:tx>
          <c:spPr>
            <a:solidFill>
              <a:schemeClr val="accent1"/>
            </a:solidFill>
            <a:ln>
              <a:noFill/>
            </a:ln>
            <a:effectLst/>
          </c:spPr>
          <c:invertIfNegative val="0"/>
          <c:cat>
            <c:strRef>
              <c:f>ModelPerformance!$A$15:$A$20</c:f>
              <c:strCache>
                <c:ptCount val="5"/>
                <c:pt idx="0">
                  <c:v>CR-V</c:v>
                </c:pt>
                <c:pt idx="1">
                  <c:v>F-150</c:v>
                </c:pt>
                <c:pt idx="2">
                  <c:v>RAV4</c:v>
                </c:pt>
                <c:pt idx="3">
                  <c:v>Tucson</c:v>
                </c:pt>
                <c:pt idx="4">
                  <c:v>X5</c:v>
                </c:pt>
              </c:strCache>
            </c:strRef>
          </c:cat>
          <c:val>
            <c:numRef>
              <c:f>ModelPerformance!$B$15:$B$20</c:f>
              <c:numCache>
                <c:formatCode>General</c:formatCode>
                <c:ptCount val="5"/>
                <c:pt idx="0">
                  <c:v>4</c:v>
                </c:pt>
                <c:pt idx="1">
                  <c:v>4</c:v>
                </c:pt>
                <c:pt idx="2">
                  <c:v>4</c:v>
                </c:pt>
                <c:pt idx="3">
                  <c:v>4</c:v>
                </c:pt>
                <c:pt idx="4">
                  <c:v>4</c:v>
                </c:pt>
              </c:numCache>
            </c:numRef>
          </c:val>
          <c:extLst>
            <c:ext xmlns:c16="http://schemas.microsoft.com/office/drawing/2014/chart" uri="{C3380CC4-5D6E-409C-BE32-E72D297353CC}">
              <c16:uniqueId val="{00000000-859E-43D9-A246-F89B81C2B007}"/>
            </c:ext>
          </c:extLst>
        </c:ser>
        <c:dLbls>
          <c:showLegendKey val="0"/>
          <c:showVal val="0"/>
          <c:showCatName val="0"/>
          <c:showSerName val="0"/>
          <c:showPercent val="0"/>
          <c:showBubbleSize val="0"/>
        </c:dLbls>
        <c:gapWidth val="182"/>
        <c:axId val="1572660736"/>
        <c:axId val="1572661152"/>
      </c:barChart>
      <c:catAx>
        <c:axId val="157266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61152"/>
        <c:crosses val="autoZero"/>
        <c:auto val="1"/>
        <c:lblAlgn val="ctr"/>
        <c:lblOffset val="100"/>
        <c:noMultiLvlLbl val="0"/>
      </c:catAx>
      <c:valAx>
        <c:axId val="157266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60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Analytics.xlsx]ModelPerformance!PivotTable16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ModelPerformance!$H$16</c:f>
              <c:strCache>
                <c:ptCount val="1"/>
                <c:pt idx="0">
                  <c:v>Total</c:v>
                </c:pt>
              </c:strCache>
            </c:strRef>
          </c:tx>
          <c:spPr>
            <a:solidFill>
              <a:schemeClr val="accent1"/>
            </a:solidFill>
            <a:ln>
              <a:noFill/>
            </a:ln>
            <a:effectLst/>
          </c:spPr>
          <c:invertIfNegative val="0"/>
          <c:cat>
            <c:strRef>
              <c:f>ModelPerformance!$G$17:$G$22</c:f>
              <c:strCache>
                <c:ptCount val="5"/>
                <c:pt idx="0">
                  <c:v>CR-V</c:v>
                </c:pt>
                <c:pt idx="1">
                  <c:v>F-150</c:v>
                </c:pt>
                <c:pt idx="2">
                  <c:v>RAV4</c:v>
                </c:pt>
                <c:pt idx="3">
                  <c:v>Tucson</c:v>
                </c:pt>
                <c:pt idx="4">
                  <c:v>X5</c:v>
                </c:pt>
              </c:strCache>
            </c:strRef>
          </c:cat>
          <c:val>
            <c:numRef>
              <c:f>ModelPerformance!$H$17:$H$22</c:f>
              <c:numCache>
                <c:formatCode>General</c:formatCode>
                <c:ptCount val="5"/>
                <c:pt idx="0">
                  <c:v>24000</c:v>
                </c:pt>
                <c:pt idx="1">
                  <c:v>28000</c:v>
                </c:pt>
                <c:pt idx="2">
                  <c:v>24000</c:v>
                </c:pt>
                <c:pt idx="3">
                  <c:v>20000</c:v>
                </c:pt>
                <c:pt idx="4">
                  <c:v>48000</c:v>
                </c:pt>
              </c:numCache>
            </c:numRef>
          </c:val>
          <c:extLst>
            <c:ext xmlns:c16="http://schemas.microsoft.com/office/drawing/2014/chart" uri="{C3380CC4-5D6E-409C-BE32-E72D297353CC}">
              <c16:uniqueId val="{00000000-824C-462C-AFFC-419D49BD3F6F}"/>
            </c:ext>
          </c:extLst>
        </c:ser>
        <c:dLbls>
          <c:showLegendKey val="0"/>
          <c:showVal val="0"/>
          <c:showCatName val="0"/>
          <c:showSerName val="0"/>
          <c:showPercent val="0"/>
          <c:showBubbleSize val="0"/>
        </c:dLbls>
        <c:gapWidth val="219"/>
        <c:overlap val="-27"/>
        <c:axId val="1572166976"/>
        <c:axId val="1572170304"/>
      </c:barChart>
      <c:catAx>
        <c:axId val="15721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70304"/>
        <c:crosses val="autoZero"/>
        <c:auto val="1"/>
        <c:lblAlgn val="ctr"/>
        <c:lblOffset val="100"/>
        <c:noMultiLvlLbl val="0"/>
      </c:catAx>
      <c:valAx>
        <c:axId val="157217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66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Analytics.xlsx]SalesTrends!PivotTable17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cked"/>
        <c:varyColors val="0"/>
        <c:ser>
          <c:idx val="0"/>
          <c:order val="0"/>
          <c:tx>
            <c:strRef>
              <c:f>SalesTrends!$H$3</c:f>
              <c:strCache>
                <c:ptCount val="1"/>
                <c:pt idx="0">
                  <c:v>Total</c:v>
                </c:pt>
              </c:strCache>
            </c:strRef>
          </c:tx>
          <c:spPr>
            <a:ln w="28575" cap="rnd">
              <a:solidFill>
                <a:schemeClr val="accent1"/>
              </a:solidFill>
              <a:round/>
            </a:ln>
            <a:effectLst/>
          </c:spPr>
          <c:marker>
            <c:symbol val="none"/>
          </c:marker>
          <c:cat>
            <c:strRef>
              <c:f>SalesTrends!$G$4:$G$9</c:f>
              <c:strCache>
                <c:ptCount val="5"/>
                <c:pt idx="0">
                  <c:v>January</c:v>
                </c:pt>
                <c:pt idx="1">
                  <c:v>February</c:v>
                </c:pt>
                <c:pt idx="2">
                  <c:v>March</c:v>
                </c:pt>
                <c:pt idx="3">
                  <c:v>April</c:v>
                </c:pt>
                <c:pt idx="4">
                  <c:v>May</c:v>
                </c:pt>
              </c:strCache>
            </c:strRef>
          </c:cat>
          <c:val>
            <c:numRef>
              <c:f>SalesTrends!$H$4:$H$9</c:f>
              <c:numCache>
                <c:formatCode>General</c:formatCode>
                <c:ptCount val="5"/>
                <c:pt idx="0">
                  <c:v>123000</c:v>
                </c:pt>
                <c:pt idx="1">
                  <c:v>158000</c:v>
                </c:pt>
                <c:pt idx="2">
                  <c:v>143000</c:v>
                </c:pt>
                <c:pt idx="3">
                  <c:v>155000</c:v>
                </c:pt>
                <c:pt idx="4">
                  <c:v>153000</c:v>
                </c:pt>
              </c:numCache>
            </c:numRef>
          </c:val>
          <c:smooth val="0"/>
          <c:extLst>
            <c:ext xmlns:c16="http://schemas.microsoft.com/office/drawing/2014/chart" uri="{C3380CC4-5D6E-409C-BE32-E72D297353CC}">
              <c16:uniqueId val="{00000000-4720-4A6F-AF40-AEFDBB37E284}"/>
            </c:ext>
          </c:extLst>
        </c:ser>
        <c:dLbls>
          <c:showLegendKey val="0"/>
          <c:showVal val="0"/>
          <c:showCatName val="0"/>
          <c:showSerName val="0"/>
          <c:showPercent val="0"/>
          <c:showBubbleSize val="0"/>
        </c:dLbls>
        <c:smooth val="0"/>
        <c:axId val="1572684864"/>
        <c:axId val="1572685696"/>
      </c:lineChart>
      <c:catAx>
        <c:axId val="157268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5696"/>
        <c:crosses val="autoZero"/>
        <c:auto val="1"/>
        <c:lblAlgn val="ctr"/>
        <c:lblOffset val="100"/>
        <c:noMultiLvlLbl val="0"/>
      </c:catAx>
      <c:valAx>
        <c:axId val="157268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486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Analytics.xlsx]SalesTrends!PivotTable18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Units Sold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SalesTrends!$B$14</c:f>
              <c:strCache>
                <c:ptCount val="1"/>
                <c:pt idx="0">
                  <c:v>Total</c:v>
                </c:pt>
              </c:strCache>
            </c:strRef>
          </c:tx>
          <c:spPr>
            <a:ln w="28575" cap="rnd">
              <a:solidFill>
                <a:schemeClr val="accent1"/>
              </a:solidFill>
              <a:round/>
            </a:ln>
            <a:effectLst/>
          </c:spPr>
          <c:marker>
            <c:symbol val="none"/>
          </c:marker>
          <c:cat>
            <c:strRef>
              <c:f>SalesTrends!$A$15:$A$20</c:f>
              <c:strCache>
                <c:ptCount val="5"/>
                <c:pt idx="0">
                  <c:v>January</c:v>
                </c:pt>
                <c:pt idx="1">
                  <c:v>February</c:v>
                </c:pt>
                <c:pt idx="2">
                  <c:v>March</c:v>
                </c:pt>
                <c:pt idx="3">
                  <c:v>April</c:v>
                </c:pt>
                <c:pt idx="4">
                  <c:v>May</c:v>
                </c:pt>
              </c:strCache>
            </c:strRef>
          </c:cat>
          <c:val>
            <c:numRef>
              <c:f>SalesTrends!$B$15:$B$20</c:f>
              <c:numCache>
                <c:formatCode>General</c:formatCode>
                <c:ptCount val="5"/>
                <c:pt idx="0">
                  <c:v>4</c:v>
                </c:pt>
                <c:pt idx="1">
                  <c:v>4</c:v>
                </c:pt>
                <c:pt idx="2">
                  <c:v>4</c:v>
                </c:pt>
                <c:pt idx="3">
                  <c:v>4</c:v>
                </c:pt>
                <c:pt idx="4">
                  <c:v>4</c:v>
                </c:pt>
              </c:numCache>
            </c:numRef>
          </c:val>
          <c:smooth val="0"/>
          <c:extLst>
            <c:ext xmlns:c16="http://schemas.microsoft.com/office/drawing/2014/chart" uri="{C3380CC4-5D6E-409C-BE32-E72D297353CC}">
              <c16:uniqueId val="{00000000-45CF-4D7E-8BC6-94B047170BA4}"/>
            </c:ext>
          </c:extLst>
        </c:ser>
        <c:dLbls>
          <c:showLegendKey val="0"/>
          <c:showVal val="0"/>
          <c:showCatName val="0"/>
          <c:showSerName val="0"/>
          <c:showPercent val="0"/>
          <c:showBubbleSize val="0"/>
        </c:dLbls>
        <c:smooth val="0"/>
        <c:axId val="1572174880"/>
        <c:axId val="1572176960"/>
      </c:lineChart>
      <c:catAx>
        <c:axId val="157217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76960"/>
        <c:crosses val="autoZero"/>
        <c:auto val="1"/>
        <c:lblAlgn val="ctr"/>
        <c:lblOffset val="100"/>
        <c:noMultiLvlLbl val="0"/>
      </c:catAx>
      <c:valAx>
        <c:axId val="157217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74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Analytics.xlsx]SalesTrends!PivotTable19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SalesTrends!$I$17</c:f>
              <c:strCache>
                <c:ptCount val="1"/>
                <c:pt idx="0">
                  <c:v>Total</c:v>
                </c:pt>
              </c:strCache>
            </c:strRef>
          </c:tx>
          <c:spPr>
            <a:ln w="28575" cap="rnd">
              <a:solidFill>
                <a:schemeClr val="accent1"/>
              </a:solidFill>
              <a:round/>
            </a:ln>
            <a:effectLst/>
          </c:spPr>
          <c:marker>
            <c:symbol val="none"/>
          </c:marker>
          <c:cat>
            <c:strRef>
              <c:f>SalesTrends!$H$18:$H$23</c:f>
              <c:strCache>
                <c:ptCount val="5"/>
                <c:pt idx="0">
                  <c:v>January</c:v>
                </c:pt>
                <c:pt idx="1">
                  <c:v>February</c:v>
                </c:pt>
                <c:pt idx="2">
                  <c:v>March</c:v>
                </c:pt>
                <c:pt idx="3">
                  <c:v>April</c:v>
                </c:pt>
                <c:pt idx="4">
                  <c:v>May</c:v>
                </c:pt>
              </c:strCache>
            </c:strRef>
          </c:cat>
          <c:val>
            <c:numRef>
              <c:f>SalesTrends!$I$18:$I$23</c:f>
              <c:numCache>
                <c:formatCode>General</c:formatCode>
                <c:ptCount val="5"/>
                <c:pt idx="0">
                  <c:v>24000</c:v>
                </c:pt>
                <c:pt idx="1">
                  <c:v>31000</c:v>
                </c:pt>
                <c:pt idx="2">
                  <c:v>29000</c:v>
                </c:pt>
                <c:pt idx="3">
                  <c:v>30000</c:v>
                </c:pt>
                <c:pt idx="4">
                  <c:v>30000</c:v>
                </c:pt>
              </c:numCache>
            </c:numRef>
          </c:val>
          <c:smooth val="0"/>
          <c:extLst>
            <c:ext xmlns:c16="http://schemas.microsoft.com/office/drawing/2014/chart" uri="{C3380CC4-5D6E-409C-BE32-E72D297353CC}">
              <c16:uniqueId val="{00000000-7251-48C5-96AD-8FFBE23263E0}"/>
            </c:ext>
          </c:extLst>
        </c:ser>
        <c:dLbls>
          <c:showLegendKey val="0"/>
          <c:showVal val="0"/>
          <c:showCatName val="0"/>
          <c:showSerName val="0"/>
          <c:showPercent val="0"/>
          <c:showBubbleSize val="0"/>
        </c:dLbls>
        <c:smooth val="0"/>
        <c:axId val="1571224960"/>
        <c:axId val="1571225376"/>
      </c:lineChart>
      <c:catAx>
        <c:axId val="157122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25376"/>
        <c:crosses val="autoZero"/>
        <c:auto val="1"/>
        <c:lblAlgn val="ctr"/>
        <c:lblOffset val="100"/>
        <c:noMultiLvlLbl val="0"/>
      </c:catAx>
      <c:valAx>
        <c:axId val="157122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224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Analytics.xlsx]DealerAnlytics!PivotTable20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Dealer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DealerAnlytics!$H$3</c:f>
              <c:strCache>
                <c:ptCount val="1"/>
                <c:pt idx="0">
                  <c:v>Total</c:v>
                </c:pt>
              </c:strCache>
            </c:strRef>
          </c:tx>
          <c:spPr>
            <a:solidFill>
              <a:schemeClr val="accent1"/>
            </a:solidFill>
            <a:ln>
              <a:noFill/>
            </a:ln>
            <a:effectLst/>
          </c:spPr>
          <c:invertIfNegative val="0"/>
          <c:cat>
            <c:strRef>
              <c:f>DealerAnlytics!$G$4:$G$12</c:f>
              <c:strCache>
                <c:ptCount val="8"/>
                <c:pt idx="0">
                  <c:v>Apex Motors</c:v>
                </c:pt>
                <c:pt idx="1">
                  <c:v>City Auto</c:v>
                </c:pt>
                <c:pt idx="2">
                  <c:v>Metro Wheels</c:v>
                </c:pt>
                <c:pt idx="3">
                  <c:v>Prime Auto</c:v>
                </c:pt>
                <c:pt idx="4">
                  <c:v>Royal Motors</c:v>
                </c:pt>
                <c:pt idx="5">
                  <c:v>Speed Auto</c:v>
                </c:pt>
                <c:pt idx="6">
                  <c:v>Star Motors</c:v>
                </c:pt>
                <c:pt idx="7">
                  <c:v>United Wheels</c:v>
                </c:pt>
              </c:strCache>
            </c:strRef>
          </c:cat>
          <c:val>
            <c:numRef>
              <c:f>DealerAnlytics!$H$4:$H$12</c:f>
              <c:numCache>
                <c:formatCode>General</c:formatCode>
                <c:ptCount val="8"/>
                <c:pt idx="0">
                  <c:v>118000</c:v>
                </c:pt>
                <c:pt idx="1">
                  <c:v>58000</c:v>
                </c:pt>
                <c:pt idx="2">
                  <c:v>93000</c:v>
                </c:pt>
                <c:pt idx="3">
                  <c:v>98000</c:v>
                </c:pt>
                <c:pt idx="4">
                  <c:v>125000</c:v>
                </c:pt>
                <c:pt idx="5">
                  <c:v>65000</c:v>
                </c:pt>
                <c:pt idx="6">
                  <c:v>85000</c:v>
                </c:pt>
                <c:pt idx="7">
                  <c:v>90000</c:v>
                </c:pt>
              </c:numCache>
            </c:numRef>
          </c:val>
          <c:extLst>
            <c:ext xmlns:c16="http://schemas.microsoft.com/office/drawing/2014/chart" uri="{C3380CC4-5D6E-409C-BE32-E72D297353CC}">
              <c16:uniqueId val="{00000000-A3BD-4CAE-9FBC-4CCFF0E50F1F}"/>
            </c:ext>
          </c:extLst>
        </c:ser>
        <c:dLbls>
          <c:showLegendKey val="0"/>
          <c:showVal val="0"/>
          <c:showCatName val="0"/>
          <c:showSerName val="0"/>
          <c:showPercent val="0"/>
          <c:showBubbleSize val="0"/>
        </c:dLbls>
        <c:gapWidth val="182"/>
        <c:axId val="1572684032"/>
        <c:axId val="1572686944"/>
      </c:barChart>
      <c:catAx>
        <c:axId val="157268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6944"/>
        <c:crosses val="autoZero"/>
        <c:auto val="1"/>
        <c:lblAlgn val="ctr"/>
        <c:lblOffset val="100"/>
        <c:noMultiLvlLbl val="0"/>
      </c:catAx>
      <c:valAx>
        <c:axId val="157268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Analytics.xlsx]DealerAnlytics!PivotTable21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Target Units by Dealer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DealerAnlytics!$B$15</c:f>
              <c:strCache>
                <c:ptCount val="1"/>
                <c:pt idx="0">
                  <c:v>Total</c:v>
                </c:pt>
              </c:strCache>
            </c:strRef>
          </c:tx>
          <c:spPr>
            <a:solidFill>
              <a:schemeClr val="accent1"/>
            </a:solidFill>
            <a:ln>
              <a:noFill/>
            </a:ln>
            <a:effectLst/>
          </c:spPr>
          <c:invertIfNegative val="0"/>
          <c:cat>
            <c:strRef>
              <c:f>DealerAnlytics!$A$16:$A$24</c:f>
              <c:strCache>
                <c:ptCount val="8"/>
                <c:pt idx="0">
                  <c:v>Apex Motors</c:v>
                </c:pt>
                <c:pt idx="1">
                  <c:v>City Auto</c:v>
                </c:pt>
                <c:pt idx="2">
                  <c:v>Metro Wheels</c:v>
                </c:pt>
                <c:pt idx="3">
                  <c:v>Prime Auto</c:v>
                </c:pt>
                <c:pt idx="4">
                  <c:v>Royal Motors</c:v>
                </c:pt>
                <c:pt idx="5">
                  <c:v>Speed Auto</c:v>
                </c:pt>
                <c:pt idx="6">
                  <c:v>Star Motors</c:v>
                </c:pt>
                <c:pt idx="7">
                  <c:v>United Wheels</c:v>
                </c:pt>
              </c:strCache>
            </c:strRef>
          </c:cat>
          <c:val>
            <c:numRef>
              <c:f>DealerAnlytics!$B$16:$B$24</c:f>
              <c:numCache>
                <c:formatCode>General</c:formatCode>
                <c:ptCount val="8"/>
                <c:pt idx="0">
                  <c:v>3000</c:v>
                </c:pt>
                <c:pt idx="1">
                  <c:v>1750</c:v>
                </c:pt>
                <c:pt idx="2">
                  <c:v>7600</c:v>
                </c:pt>
                <c:pt idx="3">
                  <c:v>2700</c:v>
                </c:pt>
                <c:pt idx="4">
                  <c:v>3100</c:v>
                </c:pt>
                <c:pt idx="5">
                  <c:v>1450</c:v>
                </c:pt>
                <c:pt idx="6">
                  <c:v>2100</c:v>
                </c:pt>
                <c:pt idx="7">
                  <c:v>1650</c:v>
                </c:pt>
              </c:numCache>
            </c:numRef>
          </c:val>
          <c:extLst>
            <c:ext xmlns:c16="http://schemas.microsoft.com/office/drawing/2014/chart" uri="{C3380CC4-5D6E-409C-BE32-E72D297353CC}">
              <c16:uniqueId val="{00000000-688B-4CEC-99D7-B1CE901EECC5}"/>
            </c:ext>
          </c:extLst>
        </c:ser>
        <c:dLbls>
          <c:showLegendKey val="0"/>
          <c:showVal val="0"/>
          <c:showCatName val="0"/>
          <c:showSerName val="0"/>
          <c:showPercent val="0"/>
          <c:showBubbleSize val="0"/>
        </c:dLbls>
        <c:gapWidth val="219"/>
        <c:overlap val="-27"/>
        <c:axId val="1572682784"/>
        <c:axId val="1572683616"/>
      </c:barChart>
      <c:catAx>
        <c:axId val="157268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3616"/>
        <c:crosses val="autoZero"/>
        <c:auto val="1"/>
        <c:lblAlgn val="ctr"/>
        <c:lblOffset val="100"/>
        <c:noMultiLvlLbl val="0"/>
      </c:catAx>
      <c:valAx>
        <c:axId val="157268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27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Analytics.xlsx]DealerAnlytics!PivotTable23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Dealer Target Achievement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DealerAnlytics!$B$28</c:f>
              <c:strCache>
                <c:ptCount val="1"/>
                <c:pt idx="0">
                  <c:v>Total</c:v>
                </c:pt>
              </c:strCache>
            </c:strRef>
          </c:tx>
          <c:spPr>
            <a:solidFill>
              <a:schemeClr val="accent1"/>
            </a:solidFill>
            <a:ln>
              <a:noFill/>
            </a:ln>
            <a:effectLst/>
          </c:spPr>
          <c:invertIfNegative val="0"/>
          <c:cat>
            <c:strRef>
              <c:f>DealerAnlytics!$A$29:$A$37</c:f>
              <c:strCache>
                <c:ptCount val="8"/>
                <c:pt idx="0">
                  <c:v>Apex Motors</c:v>
                </c:pt>
                <c:pt idx="1">
                  <c:v>City Auto</c:v>
                </c:pt>
                <c:pt idx="2">
                  <c:v>Metro Wheels</c:v>
                </c:pt>
                <c:pt idx="3">
                  <c:v>Prime Auto</c:v>
                </c:pt>
                <c:pt idx="4">
                  <c:v>Royal Motors</c:v>
                </c:pt>
                <c:pt idx="5">
                  <c:v>Speed Auto</c:v>
                </c:pt>
                <c:pt idx="6">
                  <c:v>Star Motors</c:v>
                </c:pt>
                <c:pt idx="7">
                  <c:v>United Wheels</c:v>
                </c:pt>
              </c:strCache>
            </c:strRef>
          </c:cat>
          <c:val>
            <c:numRef>
              <c:f>DealerAnlytics!$B$29:$B$37</c:f>
              <c:numCache>
                <c:formatCode>General</c:formatCode>
                <c:ptCount val="8"/>
                <c:pt idx="0">
                  <c:v>3</c:v>
                </c:pt>
                <c:pt idx="1">
                  <c:v>2</c:v>
                </c:pt>
                <c:pt idx="2">
                  <c:v>3</c:v>
                </c:pt>
                <c:pt idx="3">
                  <c:v>3</c:v>
                </c:pt>
                <c:pt idx="4">
                  <c:v>3</c:v>
                </c:pt>
                <c:pt idx="5">
                  <c:v>2</c:v>
                </c:pt>
                <c:pt idx="6">
                  <c:v>2</c:v>
                </c:pt>
                <c:pt idx="7">
                  <c:v>2</c:v>
                </c:pt>
              </c:numCache>
            </c:numRef>
          </c:val>
          <c:extLst>
            <c:ext xmlns:c16="http://schemas.microsoft.com/office/drawing/2014/chart" uri="{C3380CC4-5D6E-409C-BE32-E72D297353CC}">
              <c16:uniqueId val="{00000000-00F5-48B7-9D2C-D99BF20AD2BA}"/>
            </c:ext>
          </c:extLst>
        </c:ser>
        <c:dLbls>
          <c:showLegendKey val="0"/>
          <c:showVal val="0"/>
          <c:showCatName val="0"/>
          <c:showSerName val="0"/>
          <c:showPercent val="0"/>
          <c:showBubbleSize val="0"/>
        </c:dLbls>
        <c:gapWidth val="182"/>
        <c:axId val="1572173632"/>
        <c:axId val="1572164896"/>
      </c:barChart>
      <c:catAx>
        <c:axId val="157217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64896"/>
        <c:crosses val="autoZero"/>
        <c:auto val="1"/>
        <c:lblAlgn val="ctr"/>
        <c:lblOffset val="100"/>
        <c:noMultiLvlLbl val="0"/>
      </c:catAx>
      <c:valAx>
        <c:axId val="157216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173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Analytics.xlsx]DealerAnlytics!PivotTable22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Dealer CSAT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DealerAnlytics!$I$15</c:f>
              <c:strCache>
                <c:ptCount val="1"/>
                <c:pt idx="0">
                  <c:v>Total</c:v>
                </c:pt>
              </c:strCache>
            </c:strRef>
          </c:tx>
          <c:spPr>
            <a:solidFill>
              <a:schemeClr val="accent1"/>
            </a:solidFill>
            <a:ln>
              <a:noFill/>
            </a:ln>
            <a:effectLst/>
          </c:spPr>
          <c:invertIfNegative val="0"/>
          <c:cat>
            <c:strRef>
              <c:f>DealerAnlytics!$H$16:$H$24</c:f>
              <c:strCache>
                <c:ptCount val="8"/>
                <c:pt idx="0">
                  <c:v>Apex Motors</c:v>
                </c:pt>
                <c:pt idx="1">
                  <c:v>City Auto</c:v>
                </c:pt>
                <c:pt idx="2">
                  <c:v>Metro Wheels</c:v>
                </c:pt>
                <c:pt idx="3">
                  <c:v>Prime Auto</c:v>
                </c:pt>
                <c:pt idx="4">
                  <c:v>Royal Motors</c:v>
                </c:pt>
                <c:pt idx="5">
                  <c:v>Speed Auto</c:v>
                </c:pt>
                <c:pt idx="6">
                  <c:v>Star Motors</c:v>
                </c:pt>
                <c:pt idx="7">
                  <c:v>United Wheels</c:v>
                </c:pt>
              </c:strCache>
            </c:strRef>
          </c:cat>
          <c:val>
            <c:numRef>
              <c:f>DealerAnlytics!$I$16:$I$24</c:f>
              <c:numCache>
                <c:formatCode>General</c:formatCode>
                <c:ptCount val="8"/>
                <c:pt idx="0">
                  <c:v>14.299999999999999</c:v>
                </c:pt>
                <c:pt idx="1">
                  <c:v>9.1</c:v>
                </c:pt>
                <c:pt idx="2">
                  <c:v>13.8</c:v>
                </c:pt>
                <c:pt idx="3">
                  <c:v>13.5</c:v>
                </c:pt>
                <c:pt idx="4">
                  <c:v>13.9</c:v>
                </c:pt>
                <c:pt idx="5">
                  <c:v>8.9</c:v>
                </c:pt>
                <c:pt idx="6">
                  <c:v>9.5</c:v>
                </c:pt>
                <c:pt idx="7">
                  <c:v>9.4</c:v>
                </c:pt>
              </c:numCache>
            </c:numRef>
          </c:val>
          <c:extLst>
            <c:ext xmlns:c16="http://schemas.microsoft.com/office/drawing/2014/chart" uri="{C3380CC4-5D6E-409C-BE32-E72D297353CC}">
              <c16:uniqueId val="{00000000-0731-4559-BCD5-A3C7F9543C35}"/>
            </c:ext>
          </c:extLst>
        </c:ser>
        <c:dLbls>
          <c:showLegendKey val="0"/>
          <c:showVal val="0"/>
          <c:showCatName val="0"/>
          <c:showSerName val="0"/>
          <c:showPercent val="0"/>
          <c:showBubbleSize val="0"/>
        </c:dLbls>
        <c:gapWidth val="182"/>
        <c:axId val="1572659488"/>
        <c:axId val="1572663232"/>
      </c:barChart>
      <c:catAx>
        <c:axId val="157265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63232"/>
        <c:crosses val="autoZero"/>
        <c:auto val="1"/>
        <c:lblAlgn val="ctr"/>
        <c:lblOffset val="100"/>
        <c:noMultiLvlLbl val="0"/>
      </c:catAx>
      <c:valAx>
        <c:axId val="157266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59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Analytics.xlsx]DealerAnlytics!PivotTable23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Target Achievements by</a:t>
            </a:r>
            <a:r>
              <a:rPr lang="en-IN" baseline="0"/>
              <a:t> Dealer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DealerAnlytics!$B$28</c:f>
              <c:strCache>
                <c:ptCount val="1"/>
                <c:pt idx="0">
                  <c:v>Total</c:v>
                </c:pt>
              </c:strCache>
            </c:strRef>
          </c:tx>
          <c:spPr>
            <a:ln w="28575" cap="rnd">
              <a:solidFill>
                <a:schemeClr val="accent1"/>
              </a:solidFill>
              <a:round/>
            </a:ln>
            <a:effectLst/>
          </c:spPr>
          <c:marker>
            <c:symbol val="none"/>
          </c:marker>
          <c:cat>
            <c:strRef>
              <c:f>DealerAnlytics!$A$29:$A$37</c:f>
              <c:strCache>
                <c:ptCount val="8"/>
                <c:pt idx="0">
                  <c:v>Apex Motors</c:v>
                </c:pt>
                <c:pt idx="1">
                  <c:v>City Auto</c:v>
                </c:pt>
                <c:pt idx="2">
                  <c:v>Metro Wheels</c:v>
                </c:pt>
                <c:pt idx="3">
                  <c:v>Prime Auto</c:v>
                </c:pt>
                <c:pt idx="4">
                  <c:v>Royal Motors</c:v>
                </c:pt>
                <c:pt idx="5">
                  <c:v>Speed Auto</c:v>
                </c:pt>
                <c:pt idx="6">
                  <c:v>Star Motors</c:v>
                </c:pt>
                <c:pt idx="7">
                  <c:v>United Wheels</c:v>
                </c:pt>
              </c:strCache>
            </c:strRef>
          </c:cat>
          <c:val>
            <c:numRef>
              <c:f>DealerAnlytics!$B$29:$B$37</c:f>
              <c:numCache>
                <c:formatCode>General</c:formatCode>
                <c:ptCount val="8"/>
                <c:pt idx="0">
                  <c:v>3</c:v>
                </c:pt>
                <c:pt idx="1">
                  <c:v>2</c:v>
                </c:pt>
                <c:pt idx="2">
                  <c:v>3</c:v>
                </c:pt>
                <c:pt idx="3">
                  <c:v>3</c:v>
                </c:pt>
                <c:pt idx="4">
                  <c:v>3</c:v>
                </c:pt>
                <c:pt idx="5">
                  <c:v>2</c:v>
                </c:pt>
                <c:pt idx="6">
                  <c:v>2</c:v>
                </c:pt>
                <c:pt idx="7">
                  <c:v>2</c:v>
                </c:pt>
              </c:numCache>
            </c:numRef>
          </c:val>
          <c:smooth val="0"/>
          <c:extLst>
            <c:ext xmlns:c16="http://schemas.microsoft.com/office/drawing/2014/chart" uri="{C3380CC4-5D6E-409C-BE32-E72D297353CC}">
              <c16:uniqueId val="{00000000-936B-4504-B00C-149035C700B5}"/>
            </c:ext>
          </c:extLst>
        </c:ser>
        <c:dLbls>
          <c:showLegendKey val="0"/>
          <c:showVal val="0"/>
          <c:showCatName val="0"/>
          <c:showSerName val="0"/>
          <c:showPercent val="0"/>
          <c:showBubbleSize val="0"/>
        </c:dLbls>
        <c:smooth val="0"/>
        <c:axId val="1632441567"/>
        <c:axId val="1631895663"/>
      </c:lineChart>
      <c:catAx>
        <c:axId val="16324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95663"/>
        <c:crosses val="autoZero"/>
        <c:auto val="1"/>
        <c:lblAlgn val="ctr"/>
        <c:lblOffset val="100"/>
        <c:noMultiLvlLbl val="0"/>
      </c:catAx>
      <c:valAx>
        <c:axId val="163189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41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Analytics.xlsx]CustomerDemographic!PivotTable25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Customers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CustomerDemographic!$B$9</c:f>
              <c:strCache>
                <c:ptCount val="1"/>
                <c:pt idx="0">
                  <c:v>Total</c:v>
                </c:pt>
              </c:strCache>
            </c:strRef>
          </c:tx>
          <c:spPr>
            <a:solidFill>
              <a:schemeClr val="accent1"/>
            </a:solidFill>
            <a:ln>
              <a:noFill/>
            </a:ln>
            <a:effectLst/>
          </c:spPr>
          <c:invertIfNegative val="0"/>
          <c:cat>
            <c:strRef>
              <c:f>CustomerDemographic!$A$10:$A$12</c:f>
              <c:strCache>
                <c:ptCount val="2"/>
                <c:pt idx="0">
                  <c:v>Female</c:v>
                </c:pt>
                <c:pt idx="1">
                  <c:v>Male</c:v>
                </c:pt>
              </c:strCache>
            </c:strRef>
          </c:cat>
          <c:val>
            <c:numRef>
              <c:f>CustomerDemographic!$B$10:$B$12</c:f>
              <c:numCache>
                <c:formatCode>General</c:formatCode>
                <c:ptCount val="2"/>
                <c:pt idx="0">
                  <c:v>272</c:v>
                </c:pt>
                <c:pt idx="1">
                  <c:v>489</c:v>
                </c:pt>
              </c:numCache>
            </c:numRef>
          </c:val>
          <c:extLst>
            <c:ext xmlns:c16="http://schemas.microsoft.com/office/drawing/2014/chart" uri="{C3380CC4-5D6E-409C-BE32-E72D297353CC}">
              <c16:uniqueId val="{00000000-67A9-451F-9884-F190EBB43BF5}"/>
            </c:ext>
          </c:extLst>
        </c:ser>
        <c:dLbls>
          <c:showLegendKey val="0"/>
          <c:showVal val="0"/>
          <c:showCatName val="0"/>
          <c:showSerName val="0"/>
          <c:showPercent val="0"/>
          <c:showBubbleSize val="0"/>
        </c:dLbls>
        <c:gapWidth val="219"/>
        <c:overlap val="-27"/>
        <c:axId val="1367822912"/>
        <c:axId val="1367823328"/>
      </c:barChart>
      <c:catAx>
        <c:axId val="136782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823328"/>
        <c:crosses val="autoZero"/>
        <c:auto val="1"/>
        <c:lblAlgn val="ctr"/>
        <c:lblOffset val="100"/>
        <c:noMultiLvlLbl val="0"/>
      </c:catAx>
      <c:valAx>
        <c:axId val="136782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822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Analytics.xlsx]CustomerDemographic!PivotTable24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Customers by Gender</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CustomerDemographic!$E$3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AD-472E-9CF7-9F5C9C8062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AD-472E-9CF7-9F5C9C80625F}"/>
              </c:ext>
            </c:extLst>
          </c:dPt>
          <c:cat>
            <c:strRef>
              <c:f>CustomerDemographic!$D$4:$D$6</c:f>
              <c:strCache>
                <c:ptCount val="2"/>
                <c:pt idx="0">
                  <c:v>Female</c:v>
                </c:pt>
                <c:pt idx="1">
                  <c:v>Male</c:v>
                </c:pt>
              </c:strCache>
            </c:strRef>
          </c:cat>
          <c:val>
            <c:numRef>
              <c:f>CustomerDemographic!$E$4:$E$6</c:f>
              <c:numCache>
                <c:formatCode>General</c:formatCode>
                <c:ptCount val="2"/>
                <c:pt idx="0">
                  <c:v>8</c:v>
                </c:pt>
                <c:pt idx="1">
                  <c:v>12</c:v>
                </c:pt>
              </c:numCache>
            </c:numRef>
          </c:val>
          <c:extLst>
            <c:ext xmlns:c16="http://schemas.microsoft.com/office/drawing/2014/chart" uri="{C3380CC4-5D6E-409C-BE32-E72D297353CC}">
              <c16:uniqueId val="{00000004-CEAD-472E-9CF7-9F5C9C8062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Analytics.xlsx]CustomerDemographic!PivotTable26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Occupation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CustomerDemographic!$B$21</c:f>
              <c:strCache>
                <c:ptCount val="1"/>
                <c:pt idx="0">
                  <c:v>Total</c:v>
                </c:pt>
              </c:strCache>
            </c:strRef>
          </c:tx>
          <c:spPr>
            <a:solidFill>
              <a:schemeClr val="accent1"/>
            </a:solidFill>
            <a:ln>
              <a:noFill/>
            </a:ln>
            <a:effectLst/>
          </c:spPr>
          <c:invertIfNegative val="0"/>
          <c:cat>
            <c:strRef>
              <c:f>CustomerDemographic!$A$22:$A$24</c:f>
              <c:strCache>
                <c:ptCount val="2"/>
                <c:pt idx="0">
                  <c:v>Female</c:v>
                </c:pt>
                <c:pt idx="1">
                  <c:v>Male</c:v>
                </c:pt>
              </c:strCache>
            </c:strRef>
          </c:cat>
          <c:val>
            <c:numRef>
              <c:f>CustomerDemographic!$B$22:$B$24</c:f>
              <c:numCache>
                <c:formatCode>General</c:formatCode>
                <c:ptCount val="2"/>
                <c:pt idx="0">
                  <c:v>8</c:v>
                </c:pt>
                <c:pt idx="1">
                  <c:v>12</c:v>
                </c:pt>
              </c:numCache>
            </c:numRef>
          </c:val>
          <c:extLst>
            <c:ext xmlns:c16="http://schemas.microsoft.com/office/drawing/2014/chart" uri="{C3380CC4-5D6E-409C-BE32-E72D297353CC}">
              <c16:uniqueId val="{00000000-F832-455B-A9CE-0F64ABFD4552}"/>
            </c:ext>
          </c:extLst>
        </c:ser>
        <c:dLbls>
          <c:showLegendKey val="0"/>
          <c:showVal val="0"/>
          <c:showCatName val="0"/>
          <c:showSerName val="0"/>
          <c:showPercent val="0"/>
          <c:showBubbleSize val="0"/>
        </c:dLbls>
        <c:gapWidth val="182"/>
        <c:axId val="1696695839"/>
        <c:axId val="1696713727"/>
      </c:barChart>
      <c:catAx>
        <c:axId val="169669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13727"/>
        <c:crosses val="autoZero"/>
        <c:auto val="1"/>
        <c:lblAlgn val="ctr"/>
        <c:lblOffset val="100"/>
        <c:noMultiLvlLbl val="0"/>
      </c:catAx>
      <c:valAx>
        <c:axId val="1696713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95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Analytics.xlsx]RegionalSales!PivotTable3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RegionalSales!$B$3</c:f>
              <c:strCache>
                <c:ptCount val="1"/>
                <c:pt idx="0">
                  <c:v>Sum of Revenue</c:v>
                </c:pt>
              </c:strCache>
            </c:strRef>
          </c:tx>
          <c:spPr>
            <a:solidFill>
              <a:schemeClr val="accent1"/>
            </a:solidFill>
            <a:ln>
              <a:noFill/>
            </a:ln>
            <a:effectLst/>
          </c:spPr>
          <c:invertIfNegative val="0"/>
          <c:cat>
            <c:strRef>
              <c:f>RegionalSales!$A$4:$A$8</c:f>
              <c:strCache>
                <c:ptCount val="4"/>
                <c:pt idx="0">
                  <c:v>East</c:v>
                </c:pt>
                <c:pt idx="1">
                  <c:v>North</c:v>
                </c:pt>
                <c:pt idx="2">
                  <c:v>South</c:v>
                </c:pt>
                <c:pt idx="3">
                  <c:v>West</c:v>
                </c:pt>
              </c:strCache>
            </c:strRef>
          </c:cat>
          <c:val>
            <c:numRef>
              <c:f>RegionalSales!$B$4:$B$8</c:f>
              <c:numCache>
                <c:formatCode>General</c:formatCode>
                <c:ptCount val="4"/>
                <c:pt idx="0">
                  <c:v>183000</c:v>
                </c:pt>
                <c:pt idx="1">
                  <c:v>183000</c:v>
                </c:pt>
                <c:pt idx="2">
                  <c:v>183000</c:v>
                </c:pt>
                <c:pt idx="3">
                  <c:v>183000</c:v>
                </c:pt>
              </c:numCache>
            </c:numRef>
          </c:val>
          <c:extLst>
            <c:ext xmlns:c16="http://schemas.microsoft.com/office/drawing/2014/chart" uri="{C3380CC4-5D6E-409C-BE32-E72D297353CC}">
              <c16:uniqueId val="{00000000-48AF-4DF8-97EE-F7309DF219D4}"/>
            </c:ext>
          </c:extLst>
        </c:ser>
        <c:ser>
          <c:idx val="1"/>
          <c:order val="1"/>
          <c:tx>
            <c:strRef>
              <c:f>RegionalSales!$C$3</c:f>
              <c:strCache>
                <c:ptCount val="1"/>
                <c:pt idx="0">
                  <c:v>Sum of Units Sold</c:v>
                </c:pt>
              </c:strCache>
            </c:strRef>
          </c:tx>
          <c:spPr>
            <a:solidFill>
              <a:schemeClr val="accent2"/>
            </a:solidFill>
            <a:ln>
              <a:noFill/>
            </a:ln>
            <a:effectLst/>
          </c:spPr>
          <c:invertIfNegative val="0"/>
          <c:cat>
            <c:strRef>
              <c:f>RegionalSales!$A$4:$A$8</c:f>
              <c:strCache>
                <c:ptCount val="4"/>
                <c:pt idx="0">
                  <c:v>East</c:v>
                </c:pt>
                <c:pt idx="1">
                  <c:v>North</c:v>
                </c:pt>
                <c:pt idx="2">
                  <c:v>South</c:v>
                </c:pt>
                <c:pt idx="3">
                  <c:v>West</c:v>
                </c:pt>
              </c:strCache>
            </c:strRef>
          </c:cat>
          <c:val>
            <c:numRef>
              <c:f>RegionalSales!$C$4:$C$8</c:f>
              <c:numCache>
                <c:formatCode>General</c:formatCode>
                <c:ptCount val="4"/>
                <c:pt idx="0">
                  <c:v>5</c:v>
                </c:pt>
                <c:pt idx="1">
                  <c:v>5</c:v>
                </c:pt>
                <c:pt idx="2">
                  <c:v>5</c:v>
                </c:pt>
                <c:pt idx="3">
                  <c:v>5</c:v>
                </c:pt>
              </c:numCache>
            </c:numRef>
          </c:val>
          <c:extLst>
            <c:ext xmlns:c16="http://schemas.microsoft.com/office/drawing/2014/chart" uri="{C3380CC4-5D6E-409C-BE32-E72D297353CC}">
              <c16:uniqueId val="{00000000-C7E1-46C4-88B6-81F7727CDD9F}"/>
            </c:ext>
          </c:extLst>
        </c:ser>
        <c:ser>
          <c:idx val="2"/>
          <c:order val="2"/>
          <c:tx>
            <c:strRef>
              <c:f>RegionalSales!$D$3</c:f>
              <c:strCache>
                <c:ptCount val="1"/>
                <c:pt idx="0">
                  <c:v>Sum of Profit</c:v>
                </c:pt>
              </c:strCache>
            </c:strRef>
          </c:tx>
          <c:spPr>
            <a:solidFill>
              <a:schemeClr val="accent3"/>
            </a:solidFill>
            <a:ln>
              <a:noFill/>
            </a:ln>
            <a:effectLst/>
          </c:spPr>
          <c:invertIfNegative val="0"/>
          <c:cat>
            <c:strRef>
              <c:f>RegionalSales!$A$4:$A$8</c:f>
              <c:strCache>
                <c:ptCount val="4"/>
                <c:pt idx="0">
                  <c:v>East</c:v>
                </c:pt>
                <c:pt idx="1">
                  <c:v>North</c:v>
                </c:pt>
                <c:pt idx="2">
                  <c:v>South</c:v>
                </c:pt>
                <c:pt idx="3">
                  <c:v>West</c:v>
                </c:pt>
              </c:strCache>
            </c:strRef>
          </c:cat>
          <c:val>
            <c:numRef>
              <c:f>RegionalSales!$D$4:$D$8</c:f>
              <c:numCache>
                <c:formatCode>General</c:formatCode>
                <c:ptCount val="4"/>
                <c:pt idx="0">
                  <c:v>36000</c:v>
                </c:pt>
                <c:pt idx="1">
                  <c:v>36000</c:v>
                </c:pt>
                <c:pt idx="2">
                  <c:v>36000</c:v>
                </c:pt>
                <c:pt idx="3">
                  <c:v>36000</c:v>
                </c:pt>
              </c:numCache>
            </c:numRef>
          </c:val>
          <c:extLst>
            <c:ext xmlns:c16="http://schemas.microsoft.com/office/drawing/2014/chart" uri="{C3380CC4-5D6E-409C-BE32-E72D297353CC}">
              <c16:uniqueId val="{00000001-C7E1-46C4-88B6-81F7727CDD9F}"/>
            </c:ext>
          </c:extLst>
        </c:ser>
        <c:dLbls>
          <c:showLegendKey val="0"/>
          <c:showVal val="0"/>
          <c:showCatName val="0"/>
          <c:showSerName val="0"/>
          <c:showPercent val="0"/>
          <c:showBubbleSize val="0"/>
        </c:dLbls>
        <c:gapWidth val="219"/>
        <c:overlap val="-27"/>
        <c:axId val="1696693343"/>
        <c:axId val="1696697503"/>
      </c:barChart>
      <c:catAx>
        <c:axId val="16966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97503"/>
        <c:crosses val="autoZero"/>
        <c:auto val="1"/>
        <c:lblAlgn val="ctr"/>
        <c:lblOffset val="100"/>
        <c:noMultiLvlLbl val="0"/>
      </c:catAx>
      <c:valAx>
        <c:axId val="169669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93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Analytics.xlsx]RegionalSales!PivotTable1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RegionalSales!$I$3</c:f>
              <c:strCache>
                <c:ptCount val="1"/>
                <c:pt idx="0">
                  <c:v>Total</c:v>
                </c:pt>
              </c:strCache>
            </c:strRef>
          </c:tx>
          <c:spPr>
            <a:solidFill>
              <a:schemeClr val="accent1"/>
            </a:solidFill>
            <a:ln>
              <a:noFill/>
            </a:ln>
            <a:effectLst/>
          </c:spPr>
          <c:invertIfNegative val="0"/>
          <c:cat>
            <c:strRef>
              <c:f>RegionalSales!$H$4:$H$8</c:f>
              <c:strCache>
                <c:ptCount val="4"/>
                <c:pt idx="0">
                  <c:v>East</c:v>
                </c:pt>
                <c:pt idx="1">
                  <c:v>North</c:v>
                </c:pt>
                <c:pt idx="2">
                  <c:v>South</c:v>
                </c:pt>
                <c:pt idx="3">
                  <c:v>West</c:v>
                </c:pt>
              </c:strCache>
            </c:strRef>
          </c:cat>
          <c:val>
            <c:numRef>
              <c:f>RegionalSales!$I$4:$I$8</c:f>
              <c:numCache>
                <c:formatCode>General</c:formatCode>
                <c:ptCount val="4"/>
                <c:pt idx="0">
                  <c:v>5</c:v>
                </c:pt>
                <c:pt idx="1">
                  <c:v>5</c:v>
                </c:pt>
                <c:pt idx="2">
                  <c:v>5</c:v>
                </c:pt>
                <c:pt idx="3">
                  <c:v>5</c:v>
                </c:pt>
              </c:numCache>
            </c:numRef>
          </c:val>
          <c:extLst>
            <c:ext xmlns:c16="http://schemas.microsoft.com/office/drawing/2014/chart" uri="{C3380CC4-5D6E-409C-BE32-E72D297353CC}">
              <c16:uniqueId val="{00000000-93C6-4416-9A31-D68716C0D71C}"/>
            </c:ext>
          </c:extLst>
        </c:ser>
        <c:dLbls>
          <c:showLegendKey val="0"/>
          <c:showVal val="0"/>
          <c:showCatName val="0"/>
          <c:showSerName val="0"/>
          <c:showPercent val="0"/>
          <c:showBubbleSize val="0"/>
        </c:dLbls>
        <c:gapWidth val="182"/>
        <c:axId val="1696692095"/>
        <c:axId val="1696683775"/>
      </c:barChart>
      <c:catAx>
        <c:axId val="1696692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3775"/>
        <c:crosses val="autoZero"/>
        <c:auto val="1"/>
        <c:lblAlgn val="ctr"/>
        <c:lblOffset val="100"/>
        <c:noMultiLvlLbl val="0"/>
      </c:catAx>
      <c:valAx>
        <c:axId val="169668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92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Analytics.xlsx]RegionalSales!PivotTable2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RegionalSales!$B$17</c:f>
              <c:strCache>
                <c:ptCount val="1"/>
                <c:pt idx="0">
                  <c:v>Total</c:v>
                </c:pt>
              </c:strCache>
            </c:strRef>
          </c:tx>
          <c:spPr>
            <a:solidFill>
              <a:schemeClr val="accent1"/>
            </a:solidFill>
            <a:ln>
              <a:noFill/>
            </a:ln>
            <a:effectLst/>
          </c:spPr>
          <c:invertIfNegative val="0"/>
          <c:cat>
            <c:strRef>
              <c:f>RegionalSales!$A$18:$A$22</c:f>
              <c:strCache>
                <c:ptCount val="4"/>
                <c:pt idx="0">
                  <c:v>East</c:v>
                </c:pt>
                <c:pt idx="1">
                  <c:v>North</c:v>
                </c:pt>
                <c:pt idx="2">
                  <c:v>South</c:v>
                </c:pt>
                <c:pt idx="3">
                  <c:v>West</c:v>
                </c:pt>
              </c:strCache>
            </c:strRef>
          </c:cat>
          <c:val>
            <c:numRef>
              <c:f>RegionalSales!$B$18:$B$22</c:f>
              <c:numCache>
                <c:formatCode>General</c:formatCode>
                <c:ptCount val="4"/>
                <c:pt idx="0">
                  <c:v>36000</c:v>
                </c:pt>
                <c:pt idx="1">
                  <c:v>36000</c:v>
                </c:pt>
                <c:pt idx="2">
                  <c:v>36000</c:v>
                </c:pt>
                <c:pt idx="3">
                  <c:v>36000</c:v>
                </c:pt>
              </c:numCache>
            </c:numRef>
          </c:val>
          <c:extLst>
            <c:ext xmlns:c16="http://schemas.microsoft.com/office/drawing/2014/chart" uri="{C3380CC4-5D6E-409C-BE32-E72D297353CC}">
              <c16:uniqueId val="{00000000-FFB4-4D2F-AC62-157AEBAA2F7F}"/>
            </c:ext>
          </c:extLst>
        </c:ser>
        <c:dLbls>
          <c:showLegendKey val="0"/>
          <c:showVal val="0"/>
          <c:showCatName val="0"/>
          <c:showSerName val="0"/>
          <c:showPercent val="0"/>
          <c:showBubbleSize val="0"/>
        </c:dLbls>
        <c:gapWidth val="219"/>
        <c:overlap val="-27"/>
        <c:axId val="1696704991"/>
        <c:axId val="1696705407"/>
      </c:barChart>
      <c:catAx>
        <c:axId val="169670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05407"/>
        <c:crosses val="autoZero"/>
        <c:auto val="1"/>
        <c:lblAlgn val="ctr"/>
        <c:lblOffset val="100"/>
        <c:noMultiLvlLbl val="0"/>
      </c:catAx>
      <c:valAx>
        <c:axId val="169670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04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Analytics.xlsx]ServiceAnalytics!PivotTable3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Service Cost by </a:t>
            </a:r>
            <a:r>
              <a:rPr lang="en-IN" sz="1400" b="0" i="0" u="none" strike="noStrike" baseline="0"/>
              <a:t>Service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ServiceAnalytics!$F$3</c:f>
              <c:strCache>
                <c:ptCount val="1"/>
                <c:pt idx="0">
                  <c:v>Total</c:v>
                </c:pt>
              </c:strCache>
            </c:strRef>
          </c:tx>
          <c:spPr>
            <a:solidFill>
              <a:schemeClr val="accent1"/>
            </a:solidFill>
            <a:ln>
              <a:noFill/>
            </a:ln>
            <a:effectLst/>
          </c:spPr>
          <c:invertIfNegative val="0"/>
          <c:cat>
            <c:strRef>
              <c:f>ServiceAnalytics!$E$4:$E$9</c:f>
              <c:strCache>
                <c:ptCount val="5"/>
                <c:pt idx="0">
                  <c:v>Brake Service</c:v>
                </c:pt>
                <c:pt idx="1">
                  <c:v>Engine Check</c:v>
                </c:pt>
                <c:pt idx="2">
                  <c:v>Full Service</c:v>
                </c:pt>
                <c:pt idx="3">
                  <c:v>General Service</c:v>
                </c:pt>
                <c:pt idx="4">
                  <c:v>Oil Change</c:v>
                </c:pt>
              </c:strCache>
            </c:strRef>
          </c:cat>
          <c:val>
            <c:numRef>
              <c:f>ServiceAnalytics!$F$4:$F$9</c:f>
              <c:numCache>
                <c:formatCode>General</c:formatCode>
                <c:ptCount val="5"/>
                <c:pt idx="0">
                  <c:v>1050</c:v>
                </c:pt>
                <c:pt idx="1">
                  <c:v>900</c:v>
                </c:pt>
                <c:pt idx="2">
                  <c:v>2000</c:v>
                </c:pt>
                <c:pt idx="3">
                  <c:v>750</c:v>
                </c:pt>
                <c:pt idx="4">
                  <c:v>1050</c:v>
                </c:pt>
              </c:numCache>
            </c:numRef>
          </c:val>
          <c:extLst>
            <c:ext xmlns:c16="http://schemas.microsoft.com/office/drawing/2014/chart" uri="{C3380CC4-5D6E-409C-BE32-E72D297353CC}">
              <c16:uniqueId val="{00000000-D439-41AA-AF30-E59B2343A444}"/>
            </c:ext>
          </c:extLst>
        </c:ser>
        <c:dLbls>
          <c:showLegendKey val="0"/>
          <c:showVal val="0"/>
          <c:showCatName val="0"/>
          <c:showSerName val="0"/>
          <c:showPercent val="0"/>
          <c:showBubbleSize val="0"/>
        </c:dLbls>
        <c:gapWidth val="219"/>
        <c:overlap val="-27"/>
        <c:axId val="1696702079"/>
        <c:axId val="1696695423"/>
      </c:barChart>
      <c:catAx>
        <c:axId val="169670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95423"/>
        <c:crosses val="autoZero"/>
        <c:auto val="1"/>
        <c:lblAlgn val="ctr"/>
        <c:lblOffset val="100"/>
        <c:noMultiLvlLbl val="0"/>
      </c:catAx>
      <c:valAx>
        <c:axId val="169669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0207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Analytics.xlsx]ServiceAnalytics!PivotTable4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CSAT by Service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ServiceAnalytics!$B$13</c:f>
              <c:strCache>
                <c:ptCount val="1"/>
                <c:pt idx="0">
                  <c:v>Total</c:v>
                </c:pt>
              </c:strCache>
            </c:strRef>
          </c:tx>
          <c:spPr>
            <a:solidFill>
              <a:schemeClr val="accent1"/>
            </a:solidFill>
            <a:ln>
              <a:noFill/>
            </a:ln>
            <a:effectLst/>
          </c:spPr>
          <c:invertIfNegative val="0"/>
          <c:cat>
            <c:strRef>
              <c:f>ServiceAnalytics!$A$14:$A$19</c:f>
              <c:strCache>
                <c:ptCount val="5"/>
                <c:pt idx="0">
                  <c:v>Brake Service</c:v>
                </c:pt>
                <c:pt idx="1">
                  <c:v>Engine Check</c:v>
                </c:pt>
                <c:pt idx="2">
                  <c:v>Full Service</c:v>
                </c:pt>
                <c:pt idx="3">
                  <c:v>General Service</c:v>
                </c:pt>
                <c:pt idx="4">
                  <c:v>Oil Change</c:v>
                </c:pt>
              </c:strCache>
            </c:strRef>
          </c:cat>
          <c:val>
            <c:numRef>
              <c:f>ServiceAnalytics!$B$14:$B$19</c:f>
              <c:numCache>
                <c:formatCode>General</c:formatCode>
                <c:ptCount val="5"/>
                <c:pt idx="0">
                  <c:v>13.799999999999999</c:v>
                </c:pt>
                <c:pt idx="1">
                  <c:v>13.200000000000001</c:v>
                </c:pt>
                <c:pt idx="2">
                  <c:v>19.5</c:v>
                </c:pt>
                <c:pt idx="3">
                  <c:v>13.3</c:v>
                </c:pt>
                <c:pt idx="4">
                  <c:v>32.6</c:v>
                </c:pt>
              </c:numCache>
            </c:numRef>
          </c:val>
          <c:extLst>
            <c:ext xmlns:c16="http://schemas.microsoft.com/office/drawing/2014/chart" uri="{C3380CC4-5D6E-409C-BE32-E72D297353CC}">
              <c16:uniqueId val="{00000000-CA8B-4320-A000-E3E261BED3BD}"/>
            </c:ext>
          </c:extLst>
        </c:ser>
        <c:dLbls>
          <c:showLegendKey val="0"/>
          <c:showVal val="0"/>
          <c:showCatName val="0"/>
          <c:showSerName val="0"/>
          <c:showPercent val="0"/>
          <c:showBubbleSize val="0"/>
        </c:dLbls>
        <c:gapWidth val="182"/>
        <c:axId val="1631686927"/>
        <c:axId val="1631689423"/>
      </c:barChart>
      <c:catAx>
        <c:axId val="163168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89423"/>
        <c:crosses val="autoZero"/>
        <c:auto val="1"/>
        <c:lblAlgn val="ctr"/>
        <c:lblOffset val="100"/>
        <c:noMultiLvlLbl val="0"/>
      </c:catAx>
      <c:valAx>
        <c:axId val="163168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869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Analytics.xlsx]ServiceAnalytics!PivotTable5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Service Type</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ServiceAnalytics!$H$16</c:f>
              <c:strCache>
                <c:ptCount val="1"/>
                <c:pt idx="0">
                  <c:v>Total</c:v>
                </c:pt>
              </c:strCache>
            </c:strRef>
          </c:tx>
          <c:spPr>
            <a:solidFill>
              <a:schemeClr val="accent1"/>
            </a:solidFill>
            <a:ln>
              <a:noFill/>
            </a:ln>
            <a:effectLst/>
          </c:spPr>
          <c:invertIfNegative val="0"/>
          <c:cat>
            <c:strRef>
              <c:f>ServiceAnalytics!$G$17:$G$22</c:f>
              <c:strCache>
                <c:ptCount val="5"/>
                <c:pt idx="0">
                  <c:v>Brake Service</c:v>
                </c:pt>
                <c:pt idx="1">
                  <c:v>Engine Check</c:v>
                </c:pt>
                <c:pt idx="2">
                  <c:v>Full Service</c:v>
                </c:pt>
                <c:pt idx="3">
                  <c:v>General Service</c:v>
                </c:pt>
                <c:pt idx="4">
                  <c:v>Oil Change</c:v>
                </c:pt>
              </c:strCache>
            </c:strRef>
          </c:cat>
          <c:val>
            <c:numRef>
              <c:f>ServiceAnalytics!$H$17:$H$22</c:f>
              <c:numCache>
                <c:formatCode>General</c:formatCode>
                <c:ptCount val="5"/>
                <c:pt idx="0">
                  <c:v>3</c:v>
                </c:pt>
                <c:pt idx="1">
                  <c:v>3</c:v>
                </c:pt>
                <c:pt idx="2">
                  <c:v>4</c:v>
                </c:pt>
                <c:pt idx="3">
                  <c:v>3</c:v>
                </c:pt>
                <c:pt idx="4">
                  <c:v>7</c:v>
                </c:pt>
              </c:numCache>
            </c:numRef>
          </c:val>
          <c:extLst>
            <c:ext xmlns:c16="http://schemas.microsoft.com/office/drawing/2014/chart" uri="{C3380CC4-5D6E-409C-BE32-E72D297353CC}">
              <c16:uniqueId val="{00000000-F455-45E5-A363-0BE655FD255E}"/>
            </c:ext>
          </c:extLst>
        </c:ser>
        <c:dLbls>
          <c:showLegendKey val="0"/>
          <c:showVal val="0"/>
          <c:showCatName val="0"/>
          <c:showSerName val="0"/>
          <c:showPercent val="0"/>
          <c:showBubbleSize val="0"/>
        </c:dLbls>
        <c:gapWidth val="219"/>
        <c:overlap val="-27"/>
        <c:axId val="1696685439"/>
        <c:axId val="1696703743"/>
      </c:barChart>
      <c:catAx>
        <c:axId val="169668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03743"/>
        <c:crosses val="autoZero"/>
        <c:auto val="1"/>
        <c:lblAlgn val="ctr"/>
        <c:lblOffset val="100"/>
        <c:noMultiLvlLbl val="0"/>
      </c:catAx>
      <c:valAx>
        <c:axId val="169670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5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Analytics.xlsx]Revenue&amp;Profit!PivotTable9</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'Revenue&amp;Profit'!$B$3</c:f>
              <c:strCache>
                <c:ptCount val="1"/>
                <c:pt idx="0">
                  <c:v>Sum of Revenue</c:v>
                </c:pt>
              </c:strCache>
            </c:strRef>
          </c:tx>
          <c:spPr>
            <a:solidFill>
              <a:schemeClr val="accent1"/>
            </a:solidFill>
            <a:ln>
              <a:noFill/>
            </a:ln>
            <a:effectLst/>
          </c:spPr>
          <c:invertIfNegative val="0"/>
          <c:cat>
            <c:strRef>
              <c:f>'Revenue&amp;Profit'!$A$4:$A$9</c:f>
              <c:strCache>
                <c:ptCount val="5"/>
                <c:pt idx="0">
                  <c:v>BMW</c:v>
                </c:pt>
                <c:pt idx="1">
                  <c:v>Ford</c:v>
                </c:pt>
                <c:pt idx="2">
                  <c:v>Honda</c:v>
                </c:pt>
                <c:pt idx="3">
                  <c:v>Hyundai</c:v>
                </c:pt>
                <c:pt idx="4">
                  <c:v>Toyota</c:v>
                </c:pt>
              </c:strCache>
            </c:strRef>
          </c:cat>
          <c:val>
            <c:numRef>
              <c:f>'Revenue&amp;Profit'!$B$4:$B$9</c:f>
              <c:numCache>
                <c:formatCode>General</c:formatCode>
                <c:ptCount val="5"/>
                <c:pt idx="0">
                  <c:v>240000</c:v>
                </c:pt>
                <c:pt idx="1">
                  <c:v>160000</c:v>
                </c:pt>
                <c:pt idx="2">
                  <c:v>112000</c:v>
                </c:pt>
                <c:pt idx="3">
                  <c:v>100000</c:v>
                </c:pt>
                <c:pt idx="4">
                  <c:v>120000</c:v>
                </c:pt>
              </c:numCache>
            </c:numRef>
          </c:val>
          <c:extLst>
            <c:ext xmlns:c16="http://schemas.microsoft.com/office/drawing/2014/chart" uri="{C3380CC4-5D6E-409C-BE32-E72D297353CC}">
              <c16:uniqueId val="{00000000-8662-465F-A515-11E7E8929DB2}"/>
            </c:ext>
          </c:extLst>
        </c:ser>
        <c:ser>
          <c:idx val="1"/>
          <c:order val="1"/>
          <c:tx>
            <c:strRef>
              <c:f>'Revenue&amp;Profit'!$C$3</c:f>
              <c:strCache>
                <c:ptCount val="1"/>
                <c:pt idx="0">
                  <c:v>Sum of Cost</c:v>
                </c:pt>
              </c:strCache>
            </c:strRef>
          </c:tx>
          <c:spPr>
            <a:solidFill>
              <a:schemeClr val="accent2"/>
            </a:solidFill>
            <a:ln>
              <a:noFill/>
            </a:ln>
            <a:effectLst/>
          </c:spPr>
          <c:invertIfNegative val="0"/>
          <c:cat>
            <c:strRef>
              <c:f>'Revenue&amp;Profit'!$A$4:$A$9</c:f>
              <c:strCache>
                <c:ptCount val="5"/>
                <c:pt idx="0">
                  <c:v>BMW</c:v>
                </c:pt>
                <c:pt idx="1">
                  <c:v>Ford</c:v>
                </c:pt>
                <c:pt idx="2">
                  <c:v>Honda</c:v>
                </c:pt>
                <c:pt idx="3">
                  <c:v>Hyundai</c:v>
                </c:pt>
                <c:pt idx="4">
                  <c:v>Toyota</c:v>
                </c:pt>
              </c:strCache>
            </c:strRef>
          </c:cat>
          <c:val>
            <c:numRef>
              <c:f>'Revenue&amp;Profit'!$C$4:$C$9</c:f>
              <c:numCache>
                <c:formatCode>General</c:formatCode>
                <c:ptCount val="5"/>
                <c:pt idx="0">
                  <c:v>192000</c:v>
                </c:pt>
                <c:pt idx="1">
                  <c:v>132000</c:v>
                </c:pt>
                <c:pt idx="2">
                  <c:v>88000</c:v>
                </c:pt>
                <c:pt idx="3">
                  <c:v>80000</c:v>
                </c:pt>
                <c:pt idx="4">
                  <c:v>96000</c:v>
                </c:pt>
              </c:numCache>
            </c:numRef>
          </c:val>
          <c:extLst>
            <c:ext xmlns:c16="http://schemas.microsoft.com/office/drawing/2014/chart" uri="{C3380CC4-5D6E-409C-BE32-E72D297353CC}">
              <c16:uniqueId val="{00000001-8662-465F-A515-11E7E8929DB2}"/>
            </c:ext>
          </c:extLst>
        </c:ser>
        <c:ser>
          <c:idx val="2"/>
          <c:order val="2"/>
          <c:tx>
            <c:strRef>
              <c:f>'Revenue&amp;Profit'!$D$3</c:f>
              <c:strCache>
                <c:ptCount val="1"/>
                <c:pt idx="0">
                  <c:v>Sum of Profit</c:v>
                </c:pt>
              </c:strCache>
            </c:strRef>
          </c:tx>
          <c:spPr>
            <a:solidFill>
              <a:schemeClr val="accent3"/>
            </a:solidFill>
            <a:ln>
              <a:noFill/>
            </a:ln>
            <a:effectLst/>
          </c:spPr>
          <c:invertIfNegative val="0"/>
          <c:cat>
            <c:strRef>
              <c:f>'Revenue&amp;Profit'!$A$4:$A$9</c:f>
              <c:strCache>
                <c:ptCount val="5"/>
                <c:pt idx="0">
                  <c:v>BMW</c:v>
                </c:pt>
                <c:pt idx="1">
                  <c:v>Ford</c:v>
                </c:pt>
                <c:pt idx="2">
                  <c:v>Honda</c:v>
                </c:pt>
                <c:pt idx="3">
                  <c:v>Hyundai</c:v>
                </c:pt>
                <c:pt idx="4">
                  <c:v>Toyota</c:v>
                </c:pt>
              </c:strCache>
            </c:strRef>
          </c:cat>
          <c:val>
            <c:numRef>
              <c:f>'Revenue&amp;Profit'!$D$4:$D$9</c:f>
              <c:numCache>
                <c:formatCode>General</c:formatCode>
                <c:ptCount val="5"/>
                <c:pt idx="0">
                  <c:v>48000</c:v>
                </c:pt>
                <c:pt idx="1">
                  <c:v>28000</c:v>
                </c:pt>
                <c:pt idx="2">
                  <c:v>24000</c:v>
                </c:pt>
                <c:pt idx="3">
                  <c:v>20000</c:v>
                </c:pt>
                <c:pt idx="4">
                  <c:v>24000</c:v>
                </c:pt>
              </c:numCache>
            </c:numRef>
          </c:val>
          <c:extLst>
            <c:ext xmlns:c16="http://schemas.microsoft.com/office/drawing/2014/chart" uri="{C3380CC4-5D6E-409C-BE32-E72D297353CC}">
              <c16:uniqueId val="{00000002-8662-465F-A515-11E7E8929DB2}"/>
            </c:ext>
          </c:extLst>
        </c:ser>
        <c:dLbls>
          <c:showLegendKey val="0"/>
          <c:showVal val="0"/>
          <c:showCatName val="0"/>
          <c:showSerName val="0"/>
          <c:showPercent val="0"/>
          <c:showBubbleSize val="0"/>
        </c:dLbls>
        <c:gapWidth val="219"/>
        <c:overlap val="-27"/>
        <c:axId val="1632448223"/>
        <c:axId val="1632432415"/>
      </c:barChart>
      <c:catAx>
        <c:axId val="163244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32415"/>
        <c:crosses val="autoZero"/>
        <c:auto val="1"/>
        <c:lblAlgn val="ctr"/>
        <c:lblOffset val="100"/>
        <c:noMultiLvlLbl val="0"/>
      </c:catAx>
      <c:valAx>
        <c:axId val="1632432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4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Analytics.xlsx]Revenue&amp;Profit!PivotTable7</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'Revenue&amp;Profit'!$B$16</c:f>
              <c:strCache>
                <c:ptCount val="1"/>
                <c:pt idx="0">
                  <c:v>Sum of Revenue</c:v>
                </c:pt>
              </c:strCache>
            </c:strRef>
          </c:tx>
          <c:spPr>
            <a:ln w="28575" cap="rnd">
              <a:solidFill>
                <a:schemeClr val="accent1"/>
              </a:solidFill>
              <a:round/>
            </a:ln>
            <a:effectLst/>
          </c:spPr>
          <c:marker>
            <c:symbol val="none"/>
          </c:marker>
          <c:cat>
            <c:strRef>
              <c:f>'Revenue&amp;Profit'!$A$17:$A$22</c:f>
              <c:strCache>
                <c:ptCount val="5"/>
                <c:pt idx="0">
                  <c:v>BMW</c:v>
                </c:pt>
                <c:pt idx="1">
                  <c:v>Ford</c:v>
                </c:pt>
                <c:pt idx="2">
                  <c:v>Honda</c:v>
                </c:pt>
                <c:pt idx="3">
                  <c:v>Hyundai</c:v>
                </c:pt>
                <c:pt idx="4">
                  <c:v>Toyota</c:v>
                </c:pt>
              </c:strCache>
            </c:strRef>
          </c:cat>
          <c:val>
            <c:numRef>
              <c:f>'Revenue&amp;Profit'!$B$17:$B$22</c:f>
              <c:numCache>
                <c:formatCode>General</c:formatCode>
                <c:ptCount val="5"/>
                <c:pt idx="0">
                  <c:v>240000</c:v>
                </c:pt>
                <c:pt idx="1">
                  <c:v>160000</c:v>
                </c:pt>
                <c:pt idx="2">
                  <c:v>112000</c:v>
                </c:pt>
                <c:pt idx="3">
                  <c:v>100000</c:v>
                </c:pt>
                <c:pt idx="4">
                  <c:v>120000</c:v>
                </c:pt>
              </c:numCache>
            </c:numRef>
          </c:val>
          <c:smooth val="0"/>
          <c:extLst>
            <c:ext xmlns:c16="http://schemas.microsoft.com/office/drawing/2014/chart" uri="{C3380CC4-5D6E-409C-BE32-E72D297353CC}">
              <c16:uniqueId val="{00000000-AA64-4FC2-A966-1B737C8FA08F}"/>
            </c:ext>
          </c:extLst>
        </c:ser>
        <c:ser>
          <c:idx val="1"/>
          <c:order val="1"/>
          <c:tx>
            <c:strRef>
              <c:f>'Revenue&amp;Profit'!$C$16</c:f>
              <c:strCache>
                <c:ptCount val="1"/>
                <c:pt idx="0">
                  <c:v>Sum of Profit</c:v>
                </c:pt>
              </c:strCache>
            </c:strRef>
          </c:tx>
          <c:spPr>
            <a:ln w="28575" cap="rnd">
              <a:solidFill>
                <a:schemeClr val="accent2"/>
              </a:solidFill>
              <a:round/>
            </a:ln>
            <a:effectLst/>
          </c:spPr>
          <c:marker>
            <c:symbol val="none"/>
          </c:marker>
          <c:cat>
            <c:strRef>
              <c:f>'Revenue&amp;Profit'!$A$17:$A$22</c:f>
              <c:strCache>
                <c:ptCount val="5"/>
                <c:pt idx="0">
                  <c:v>BMW</c:v>
                </c:pt>
                <c:pt idx="1">
                  <c:v>Ford</c:v>
                </c:pt>
                <c:pt idx="2">
                  <c:v>Honda</c:v>
                </c:pt>
                <c:pt idx="3">
                  <c:v>Hyundai</c:v>
                </c:pt>
                <c:pt idx="4">
                  <c:v>Toyota</c:v>
                </c:pt>
              </c:strCache>
            </c:strRef>
          </c:cat>
          <c:val>
            <c:numRef>
              <c:f>'Revenue&amp;Profit'!$C$17:$C$22</c:f>
              <c:numCache>
                <c:formatCode>General</c:formatCode>
                <c:ptCount val="5"/>
                <c:pt idx="0">
                  <c:v>48000</c:v>
                </c:pt>
                <c:pt idx="1">
                  <c:v>28000</c:v>
                </c:pt>
                <c:pt idx="2">
                  <c:v>24000</c:v>
                </c:pt>
                <c:pt idx="3">
                  <c:v>20000</c:v>
                </c:pt>
                <c:pt idx="4">
                  <c:v>24000</c:v>
                </c:pt>
              </c:numCache>
            </c:numRef>
          </c:val>
          <c:smooth val="0"/>
          <c:extLst>
            <c:ext xmlns:c16="http://schemas.microsoft.com/office/drawing/2014/chart" uri="{C3380CC4-5D6E-409C-BE32-E72D297353CC}">
              <c16:uniqueId val="{00000001-AA64-4FC2-A966-1B737C8FA08F}"/>
            </c:ext>
          </c:extLst>
        </c:ser>
        <c:dLbls>
          <c:showLegendKey val="0"/>
          <c:showVal val="0"/>
          <c:showCatName val="0"/>
          <c:showSerName val="0"/>
          <c:showPercent val="0"/>
          <c:showBubbleSize val="0"/>
        </c:dLbls>
        <c:smooth val="0"/>
        <c:axId val="1696692927"/>
        <c:axId val="1631898159"/>
      </c:lineChart>
      <c:catAx>
        <c:axId val="16966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898159"/>
        <c:crosses val="autoZero"/>
        <c:auto val="1"/>
        <c:lblAlgn val="ctr"/>
        <c:lblOffset val="100"/>
        <c:noMultiLvlLbl val="0"/>
      </c:catAx>
      <c:valAx>
        <c:axId val="163189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 Sales Analytics.xlsx]Revenue&amp;Profit!PivotTable6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'Revenue&amp;Profit'!$N$3</c:f>
              <c:strCache>
                <c:ptCount val="1"/>
                <c:pt idx="0">
                  <c:v>Total</c:v>
                </c:pt>
              </c:strCache>
            </c:strRef>
          </c:tx>
          <c:spPr>
            <a:solidFill>
              <a:schemeClr val="accent1"/>
            </a:solidFill>
            <a:ln>
              <a:noFill/>
            </a:ln>
            <a:effectLst/>
          </c:spPr>
          <c:invertIfNegative val="0"/>
          <c:cat>
            <c:strRef>
              <c:f>'Revenue&amp;Profit'!$M$4:$M$9</c:f>
              <c:strCache>
                <c:ptCount val="5"/>
                <c:pt idx="0">
                  <c:v>BMW</c:v>
                </c:pt>
                <c:pt idx="1">
                  <c:v>Ford</c:v>
                </c:pt>
                <c:pt idx="2">
                  <c:v>Honda</c:v>
                </c:pt>
                <c:pt idx="3">
                  <c:v>Hyundai</c:v>
                </c:pt>
                <c:pt idx="4">
                  <c:v>Toyota</c:v>
                </c:pt>
              </c:strCache>
            </c:strRef>
          </c:cat>
          <c:val>
            <c:numRef>
              <c:f>'Revenue&amp;Profit'!$N$4:$N$9</c:f>
              <c:numCache>
                <c:formatCode>General</c:formatCode>
                <c:ptCount val="5"/>
                <c:pt idx="0">
                  <c:v>48000</c:v>
                </c:pt>
                <c:pt idx="1">
                  <c:v>28000</c:v>
                </c:pt>
                <c:pt idx="2">
                  <c:v>24000</c:v>
                </c:pt>
                <c:pt idx="3">
                  <c:v>20000</c:v>
                </c:pt>
                <c:pt idx="4">
                  <c:v>24000</c:v>
                </c:pt>
              </c:numCache>
            </c:numRef>
          </c:val>
          <c:extLst>
            <c:ext xmlns:c16="http://schemas.microsoft.com/office/drawing/2014/chart" uri="{C3380CC4-5D6E-409C-BE32-E72D297353CC}">
              <c16:uniqueId val="{00000000-DE12-48BB-9C80-5526FC5E9CF9}"/>
            </c:ext>
          </c:extLst>
        </c:ser>
        <c:dLbls>
          <c:showLegendKey val="0"/>
          <c:showVal val="0"/>
          <c:showCatName val="0"/>
          <c:showSerName val="0"/>
          <c:showPercent val="0"/>
          <c:showBubbleSize val="0"/>
        </c:dLbls>
        <c:gapWidth val="182"/>
        <c:axId val="1696702495"/>
        <c:axId val="1696688767"/>
      </c:barChart>
      <c:catAx>
        <c:axId val="169670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88767"/>
        <c:crosses val="autoZero"/>
        <c:auto val="1"/>
        <c:lblAlgn val="ctr"/>
        <c:lblOffset val="100"/>
        <c:noMultiLvlLbl val="0"/>
      </c:catAx>
      <c:valAx>
        <c:axId val="1696688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024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26" Type="http://schemas.openxmlformats.org/officeDocument/2006/relationships/chart" Target="../charts/chart32.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12</xdr:row>
      <xdr:rowOff>114300</xdr:rowOff>
    </xdr:from>
    <xdr:to>
      <xdr:col>1</xdr:col>
      <xdr:colOff>998220</xdr:colOff>
      <xdr:row>18</xdr:row>
      <xdr:rowOff>83821</xdr:rowOff>
    </xdr:to>
    <mc:AlternateContent xmlns:mc="http://schemas.openxmlformats.org/markup-compatibility/2006" xmlns:a14="http://schemas.microsoft.com/office/drawing/2010/main">
      <mc:Choice Requires="a14">
        <xdr:graphicFrame macro="">
          <xdr:nvGraphicFramePr>
            <xdr:cNvPr id="2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2438400"/>
              <a:ext cx="1554480" cy="1066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160020</xdr:colOff>
      <xdr:row>20</xdr:row>
      <xdr:rowOff>119843</xdr:rowOff>
    </xdr:from>
    <xdr:to>
      <xdr:col>16</xdr:col>
      <xdr:colOff>582706</xdr:colOff>
      <xdr:row>27</xdr:row>
      <xdr:rowOff>134471</xdr:rowOff>
    </xdr:to>
    <mc:AlternateContent xmlns:mc="http://schemas.openxmlformats.org/markup-compatibility/2006">
      <mc:Choice xmlns:a14="http://schemas.microsoft.com/office/drawing/2010/main" Requires="a14">
        <xdr:graphicFrame macro="">
          <xdr:nvGraphicFramePr>
            <xdr:cNvPr id="29"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277600" y="3906983"/>
              <a:ext cx="1641886" cy="1294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20</xdr:row>
      <xdr:rowOff>5543</xdr:rowOff>
    </xdr:from>
    <xdr:to>
      <xdr:col>1</xdr:col>
      <xdr:colOff>982980</xdr:colOff>
      <xdr:row>26</xdr:row>
      <xdr:rowOff>133004</xdr:rowOff>
    </xdr:to>
    <mc:AlternateContent xmlns:mc="http://schemas.openxmlformats.org/markup-compatibility/2006">
      <mc:Choice xmlns:a14="http://schemas.microsoft.com/office/drawing/2010/main" Requires="a14">
        <xdr:graphicFrame macro="">
          <xdr:nvGraphicFramePr>
            <xdr:cNvPr id="30" name="Brand"/>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7620" y="3792683"/>
              <a:ext cx="1539240" cy="1224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157942</xdr:colOff>
      <xdr:row>12</xdr:row>
      <xdr:rowOff>121226</xdr:rowOff>
    </xdr:from>
    <xdr:to>
      <xdr:col>16</xdr:col>
      <xdr:colOff>579120</xdr:colOff>
      <xdr:row>19</xdr:row>
      <xdr:rowOff>28402</xdr:rowOff>
    </xdr:to>
    <mc:AlternateContent xmlns:mc="http://schemas.openxmlformats.org/markup-compatibility/2006">
      <mc:Choice xmlns:a14="http://schemas.microsoft.com/office/drawing/2010/main" Requires="a14">
        <xdr:graphicFrame macro="">
          <xdr:nvGraphicFramePr>
            <xdr:cNvPr id="31" name="Category"/>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75522" y="2445326"/>
              <a:ext cx="1640378" cy="1187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4157</xdr:rowOff>
    </xdr:from>
    <xdr:to>
      <xdr:col>16</xdr:col>
      <xdr:colOff>573741</xdr:colOff>
      <xdr:row>11</xdr:row>
      <xdr:rowOff>76199</xdr:rowOff>
    </xdr:to>
    <mc:AlternateContent xmlns:mc="http://schemas.openxmlformats.org/markup-compatibility/2006">
      <mc:Choice xmlns:a14="http://schemas.microsoft.com/office/drawing/2010/main" Requires="a14">
        <xdr:graphicFrame macro="">
          <xdr:nvGraphicFramePr>
            <xdr:cNvPr id="32" name="Dealer Name"/>
            <xdr:cNvGraphicFramePr/>
          </xdr:nvGraphicFramePr>
          <xdr:xfrm>
            <a:off x="0" y="0"/>
            <a:ext cx="0" cy="0"/>
          </xdr:xfrm>
          <a:graphic>
            <a:graphicData uri="http://schemas.microsoft.com/office/drawing/2010/slicer">
              <sle:slicer xmlns:sle="http://schemas.microsoft.com/office/drawing/2010/slicer" name="Dealer Name"/>
            </a:graphicData>
          </a:graphic>
        </xdr:graphicFrame>
      </mc:Choice>
      <mc:Fallback>
        <xdr:sp macro="" textlink="">
          <xdr:nvSpPr>
            <xdr:cNvPr id="0" name=""/>
            <xdr:cNvSpPr>
              <a:spLocks noTextEdit="1"/>
            </xdr:cNvSpPr>
          </xdr:nvSpPr>
          <xdr:spPr>
            <a:xfrm>
              <a:off x="0" y="1596737"/>
              <a:ext cx="12910521" cy="620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998221</xdr:colOff>
      <xdr:row>12</xdr:row>
      <xdr:rowOff>106187</xdr:rowOff>
    </xdr:from>
    <xdr:to>
      <xdr:col>5</xdr:col>
      <xdr:colOff>144781</xdr:colOff>
      <xdr:row>23</xdr:row>
      <xdr:rowOff>15241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12</xdr:row>
      <xdr:rowOff>105988</xdr:rowOff>
    </xdr:from>
    <xdr:to>
      <xdr:col>14</xdr:col>
      <xdr:colOff>137160</xdr:colOff>
      <xdr:row>23</xdr:row>
      <xdr:rowOff>15240</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975361</xdr:colOff>
      <xdr:row>23</xdr:row>
      <xdr:rowOff>15240</xdr:rowOff>
    </xdr:from>
    <xdr:to>
      <xdr:col>5</xdr:col>
      <xdr:colOff>7621</xdr:colOff>
      <xdr:row>33</xdr:row>
      <xdr:rowOff>106680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23</xdr:row>
      <xdr:rowOff>15240</xdr:rowOff>
    </xdr:from>
    <xdr:to>
      <xdr:col>10</xdr:col>
      <xdr:colOff>38100</xdr:colOff>
      <xdr:row>33</xdr:row>
      <xdr:rowOff>106680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144780</xdr:colOff>
      <xdr:row>12</xdr:row>
      <xdr:rowOff>106680</xdr:rowOff>
    </xdr:from>
    <xdr:to>
      <xdr:col>10</xdr:col>
      <xdr:colOff>38100</xdr:colOff>
      <xdr:row>23</xdr:row>
      <xdr:rowOff>15240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30480</xdr:colOff>
      <xdr:row>23</xdr:row>
      <xdr:rowOff>15240</xdr:rowOff>
    </xdr:from>
    <xdr:to>
      <xdr:col>14</xdr:col>
      <xdr:colOff>144780</xdr:colOff>
      <xdr:row>33</xdr:row>
      <xdr:rowOff>106680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114300</xdr:rowOff>
    </xdr:from>
    <xdr:to>
      <xdr:col>5</xdr:col>
      <xdr:colOff>69669</xdr:colOff>
      <xdr:row>14</xdr:row>
      <xdr:rowOff>47352</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0</xdr:row>
      <xdr:rowOff>15240</xdr:rowOff>
    </xdr:from>
    <xdr:to>
      <xdr:col>11</xdr:col>
      <xdr:colOff>388620</xdr:colOff>
      <xdr:row>12</xdr:row>
      <xdr:rowOff>18506</xdr:rowOff>
    </xdr:to>
    <xdr:graphicFrame macro="">
      <xdr:nvGraphicFramePr>
        <xdr:cNvPr id="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443049</xdr:colOff>
      <xdr:row>2</xdr:row>
      <xdr:rowOff>153489</xdr:rowOff>
    </xdr:from>
    <xdr:to>
      <xdr:col>19</xdr:col>
      <xdr:colOff>103414</xdr:colOff>
      <xdr:row>14</xdr:row>
      <xdr:rowOff>13607</xdr:rowOff>
    </xdr:to>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121920</xdr:rowOff>
    </xdr:from>
    <xdr:to>
      <xdr:col>5</xdr:col>
      <xdr:colOff>237309</xdr:colOff>
      <xdr:row>25</xdr:row>
      <xdr:rowOff>96339</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365760</xdr:colOff>
      <xdr:row>12</xdr:row>
      <xdr:rowOff>83820</xdr:rowOff>
    </xdr:from>
    <xdr:to>
      <xdr:col>11</xdr:col>
      <xdr:colOff>207917</xdr:colOff>
      <xdr:row>22</xdr:row>
      <xdr:rowOff>31025</xdr:rowOff>
    </xdr:to>
    <xdr:graphicFrame macro="">
      <xdr:nvGraphicFramePr>
        <xdr:cNvPr id="6"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373380</xdr:colOff>
      <xdr:row>14</xdr:row>
      <xdr:rowOff>167640</xdr:rowOff>
    </xdr:from>
    <xdr:to>
      <xdr:col>16</xdr:col>
      <xdr:colOff>123008</xdr:colOff>
      <xdr:row>25</xdr:row>
      <xdr:rowOff>174172</xdr:rowOff>
    </xdr:to>
    <xdr:graphicFrame macro="">
      <xdr:nvGraphicFramePr>
        <xdr:cNvPr id="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28</xdr:row>
      <xdr:rowOff>0</xdr:rowOff>
    </xdr:from>
    <xdr:to>
      <xdr:col>5</xdr:col>
      <xdr:colOff>214449</xdr:colOff>
      <xdr:row>40</xdr:row>
      <xdr:rowOff>52796</xdr:rowOff>
    </xdr:to>
    <xdr:graphicFrame macro="">
      <xdr:nvGraphicFramePr>
        <xdr:cNvPr id="8"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28</xdr:row>
      <xdr:rowOff>0</xdr:rowOff>
    </xdr:from>
    <xdr:to>
      <xdr:col>12</xdr:col>
      <xdr:colOff>205740</xdr:colOff>
      <xdr:row>37</xdr:row>
      <xdr:rowOff>139881</xdr:rowOff>
    </xdr:to>
    <xdr:graphicFrame macro="">
      <xdr:nvGraphicFramePr>
        <xdr:cNvPr id="9"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28</xdr:row>
      <xdr:rowOff>0</xdr:rowOff>
    </xdr:from>
    <xdr:to>
      <xdr:col>19</xdr:col>
      <xdr:colOff>590005</xdr:colOff>
      <xdr:row>39</xdr:row>
      <xdr:rowOff>27759</xdr:rowOff>
    </xdr:to>
    <xdr:graphicFrame macro="">
      <xdr:nvGraphicFramePr>
        <xdr:cNvPr id="1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41</xdr:row>
      <xdr:rowOff>0</xdr:rowOff>
    </xdr:from>
    <xdr:to>
      <xdr:col>6</xdr:col>
      <xdr:colOff>54429</xdr:colOff>
      <xdr:row>51</xdr:row>
      <xdr:rowOff>25581</xdr:rowOff>
    </xdr:to>
    <xdr:graphicFrame macro="">
      <xdr:nvGraphicFramePr>
        <xdr:cNvPr id="11"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41</xdr:row>
      <xdr:rowOff>0</xdr:rowOff>
    </xdr:from>
    <xdr:to>
      <xdr:col>13</xdr:col>
      <xdr:colOff>266700</xdr:colOff>
      <xdr:row>52</xdr:row>
      <xdr:rowOff>113756</xdr:rowOff>
    </xdr:to>
    <xdr:graphicFrame macro="">
      <xdr:nvGraphicFramePr>
        <xdr:cNvPr id="1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0</xdr:colOff>
      <xdr:row>41</xdr:row>
      <xdr:rowOff>0</xdr:rowOff>
    </xdr:from>
    <xdr:to>
      <xdr:col>21</xdr:col>
      <xdr:colOff>157843</xdr:colOff>
      <xdr:row>51</xdr:row>
      <xdr:rowOff>172538</xdr:rowOff>
    </xdr:to>
    <xdr:graphicFrame macro="">
      <xdr:nvGraphicFramePr>
        <xdr:cNvPr id="13"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53</xdr:row>
      <xdr:rowOff>0</xdr:rowOff>
    </xdr:from>
    <xdr:to>
      <xdr:col>6</xdr:col>
      <xdr:colOff>228600</xdr:colOff>
      <xdr:row>64</xdr:row>
      <xdr:rowOff>20138</xdr:rowOff>
    </xdr:to>
    <xdr:graphicFrame macro="">
      <xdr:nvGraphicFramePr>
        <xdr:cNvPr id="14"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571500</xdr:colOff>
      <xdr:row>52</xdr:row>
      <xdr:rowOff>129541</xdr:rowOff>
    </xdr:from>
    <xdr:to>
      <xdr:col>13</xdr:col>
      <xdr:colOff>15240</xdr:colOff>
      <xdr:row>63</xdr:row>
      <xdr:rowOff>68581</xdr:rowOff>
    </xdr:to>
    <xdr:graphicFrame macro="">
      <xdr:nvGraphicFramePr>
        <xdr:cNvPr id="1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66</xdr:row>
      <xdr:rowOff>0</xdr:rowOff>
    </xdr:from>
    <xdr:to>
      <xdr:col>5</xdr:col>
      <xdr:colOff>504009</xdr:colOff>
      <xdr:row>77</xdr:row>
      <xdr:rowOff>29936</xdr:rowOff>
    </xdr:to>
    <xdr:graphicFrame macro="">
      <xdr:nvGraphicFramePr>
        <xdr:cNvPr id="16"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548640</xdr:colOff>
      <xdr:row>65</xdr:row>
      <xdr:rowOff>106680</xdr:rowOff>
    </xdr:from>
    <xdr:to>
      <xdr:col>12</xdr:col>
      <xdr:colOff>289560</xdr:colOff>
      <xdr:row>77</xdr:row>
      <xdr:rowOff>60415</xdr:rowOff>
    </xdr:to>
    <xdr:graphicFrame macro="">
      <xdr:nvGraphicFramePr>
        <xdr:cNvPr id="17"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0</xdr:colOff>
      <xdr:row>66</xdr:row>
      <xdr:rowOff>0</xdr:rowOff>
    </xdr:from>
    <xdr:to>
      <xdr:col>20</xdr:col>
      <xdr:colOff>333103</xdr:colOff>
      <xdr:row>77</xdr:row>
      <xdr:rowOff>149678</xdr:rowOff>
    </xdr:to>
    <xdr:graphicFrame macro="">
      <xdr:nvGraphicFramePr>
        <xdr:cNvPr id="18"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79</xdr:row>
      <xdr:rowOff>0</xdr:rowOff>
    </xdr:from>
    <xdr:to>
      <xdr:col>5</xdr:col>
      <xdr:colOff>244929</xdr:colOff>
      <xdr:row>89</xdr:row>
      <xdr:rowOff>25582</xdr:rowOff>
    </xdr:to>
    <xdr:graphicFrame macro="">
      <xdr:nvGraphicFramePr>
        <xdr:cNvPr id="1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0</xdr:colOff>
      <xdr:row>79</xdr:row>
      <xdr:rowOff>0</xdr:rowOff>
    </xdr:from>
    <xdr:to>
      <xdr:col>12</xdr:col>
      <xdr:colOff>259080</xdr:colOff>
      <xdr:row>89</xdr:row>
      <xdr:rowOff>42999</xdr:rowOff>
    </xdr:to>
    <xdr:graphicFrame macro="">
      <xdr:nvGraphicFramePr>
        <xdr:cNvPr id="20"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0</xdr:colOff>
      <xdr:row>79</xdr:row>
      <xdr:rowOff>0</xdr:rowOff>
    </xdr:from>
    <xdr:to>
      <xdr:col>20</xdr:col>
      <xdr:colOff>468085</xdr:colOff>
      <xdr:row>88</xdr:row>
      <xdr:rowOff>177982</xdr:rowOff>
    </xdr:to>
    <xdr:graphicFrame macro="">
      <xdr:nvGraphicFramePr>
        <xdr:cNvPr id="2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90</xdr:row>
      <xdr:rowOff>0</xdr:rowOff>
    </xdr:from>
    <xdr:to>
      <xdr:col>9</xdr:col>
      <xdr:colOff>530134</xdr:colOff>
      <xdr:row>101</xdr:row>
      <xdr:rowOff>58238</xdr:rowOff>
    </xdr:to>
    <xdr:graphicFrame macro="">
      <xdr:nvGraphicFramePr>
        <xdr:cNvPr id="2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0</xdr:colOff>
      <xdr:row>90</xdr:row>
      <xdr:rowOff>0</xdr:rowOff>
    </xdr:from>
    <xdr:to>
      <xdr:col>17</xdr:col>
      <xdr:colOff>446315</xdr:colOff>
      <xdr:row>100</xdr:row>
      <xdr:rowOff>25581</xdr:rowOff>
    </xdr:to>
    <xdr:graphicFrame macro="">
      <xdr:nvGraphicFramePr>
        <xdr:cNvPr id="2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0</xdr:colOff>
      <xdr:row>90</xdr:row>
      <xdr:rowOff>0</xdr:rowOff>
    </xdr:from>
    <xdr:to>
      <xdr:col>23</xdr:col>
      <xdr:colOff>292825</xdr:colOff>
      <xdr:row>99</xdr:row>
      <xdr:rowOff>175804</xdr:rowOff>
    </xdr:to>
    <xdr:graphicFrame macro="">
      <xdr:nvGraphicFramePr>
        <xdr:cNvPr id="2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0</xdr:colOff>
      <xdr:row>102</xdr:row>
      <xdr:rowOff>0</xdr:rowOff>
    </xdr:from>
    <xdr:to>
      <xdr:col>7</xdr:col>
      <xdr:colOff>505097</xdr:colOff>
      <xdr:row>112</xdr:row>
      <xdr:rowOff>117021</xdr:rowOff>
    </xdr:to>
    <xdr:graphicFrame macro="">
      <xdr:nvGraphicFramePr>
        <xdr:cNvPr id="2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0</xdr:colOff>
      <xdr:row>102</xdr:row>
      <xdr:rowOff>0</xdr:rowOff>
    </xdr:from>
    <xdr:to>
      <xdr:col>13</xdr:col>
      <xdr:colOff>65314</xdr:colOff>
      <xdr:row>114</xdr:row>
      <xdr:rowOff>45175</xdr:rowOff>
    </xdr:to>
    <xdr:graphicFrame macro="">
      <xdr:nvGraphicFramePr>
        <xdr:cNvPr id="2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14</xdr:col>
      <xdr:colOff>0</xdr:colOff>
      <xdr:row>102</xdr:row>
      <xdr:rowOff>0</xdr:rowOff>
    </xdr:from>
    <xdr:to>
      <xdr:col>20</xdr:col>
      <xdr:colOff>432163</xdr:colOff>
      <xdr:row>112</xdr:row>
      <xdr:rowOff>48441</xdr:rowOff>
    </xdr:to>
    <xdr:graphicFrame macro="">
      <xdr:nvGraphicFramePr>
        <xdr:cNvPr id="27"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301.871805208335" createdVersion="6" refreshedVersion="6" minRefreshableVersion="3" recordCount="20">
  <cacheSource type="worksheet">
    <worksheetSource name="Table2"/>
  </cacheSource>
  <cacheFields count="25">
    <cacheField name="Sale ID" numFmtId="0">
      <sharedItems/>
    </cacheField>
    <cacheField name="Sale Date" numFmtId="15">
      <sharedItems containsSemiMixedTypes="0" containsNonDate="0" containsDate="1" containsString="0" minDate="2026-01-05T00:00:00" maxDate="2026-06-01T00:00:00"/>
    </cacheField>
    <cacheField name="Year" numFmtId="0">
      <sharedItems containsSemiMixedTypes="0" containsString="0" containsNumber="1" containsInteger="1" minValue="2026" maxValue="2026" count="1">
        <n v="2026"/>
      </sharedItems>
    </cacheField>
    <cacheField name="Month" numFmtId="0">
      <sharedItems count="5">
        <s v="January"/>
        <s v="February"/>
        <s v="March"/>
        <s v="April"/>
        <s v="May"/>
      </sharedItems>
    </cacheField>
    <cacheField name="Region" numFmtId="0">
      <sharedItems count="4">
        <s v="North"/>
        <s v="South"/>
        <s v="East"/>
        <s v="West"/>
      </sharedItems>
    </cacheField>
    <cacheField name="Dealer ID" numFmtId="0">
      <sharedItems/>
    </cacheField>
    <cacheField name="Dealer Name" numFmtId="0">
      <sharedItems count="8">
        <s v="Apex Motors"/>
        <s v="Prime Auto"/>
        <s v="Metro Wheels"/>
        <s v="Royal Motors"/>
        <s v="Speed Auto"/>
        <s v="Star Motors"/>
        <s v="United Wheels"/>
        <s v="City Auto"/>
      </sharedItems>
    </cacheField>
    <cacheField name="Brand" numFmtId="0">
      <sharedItems count="5">
        <s v="Toyota"/>
        <s v="Honda"/>
        <s v="Ford"/>
        <s v="Hyundai"/>
        <s v="BMW"/>
      </sharedItems>
    </cacheField>
    <cacheField name="Model" numFmtId="0">
      <sharedItems count="5">
        <s v="RAV4"/>
        <s v="CR-V"/>
        <s v="F-150"/>
        <s v="Tucson"/>
        <s v="X5"/>
      </sharedItems>
    </cacheField>
    <cacheField name="Category" numFmtId="0">
      <sharedItems count="3">
        <s v="Mass Market"/>
        <s v="Truck"/>
        <s v="Luxury"/>
      </sharedItems>
    </cacheField>
    <cacheField name="Customer ID" numFmtId="0">
      <sharedItems/>
    </cacheField>
    <cacheField name="Customer Age" numFmtId="0">
      <sharedItems containsSemiMixedTypes="0" containsString="0" containsNumber="1" containsInteger="1" minValue="27" maxValue="51"/>
    </cacheField>
    <cacheField name="Gender" numFmtId="0">
      <sharedItems count="2">
        <s v="Male"/>
        <s v="Female"/>
      </sharedItems>
    </cacheField>
    <cacheField name="Income" numFmtId="0">
      <sharedItems containsSemiMixedTypes="0" containsString="0" containsNumber="1" containsInteger="1" minValue="48000" maxValue="130000"/>
    </cacheField>
    <cacheField name="Occupation" numFmtId="0">
      <sharedItems count="7">
        <s v="IT"/>
        <s v="Manager"/>
        <s v="Business"/>
        <s v="Teacher"/>
        <s v="Doctor"/>
        <s v="Engineer"/>
        <s v="Designer"/>
      </sharedItems>
    </cacheField>
    <cacheField name="Units Sold" numFmtId="0">
      <sharedItems containsSemiMixedTypes="0" containsString="0" containsNumber="1" containsInteger="1" minValue="1" maxValue="1"/>
    </cacheField>
    <cacheField name="Selling Price" numFmtId="0">
      <sharedItems containsSemiMixedTypes="0" containsString="0" containsNumber="1" containsInteger="1" minValue="25000" maxValue="60000"/>
    </cacheField>
    <cacheField name="Revenue" numFmtId="0">
      <sharedItems containsSemiMixedTypes="0" containsString="0" containsNumber="1" containsInteger="1" minValue="25000" maxValue="60000" count="5">
        <n v="30000"/>
        <n v="28000"/>
        <n v="40000"/>
        <n v="25000"/>
        <n v="60000"/>
      </sharedItems>
    </cacheField>
    <cacheField name="Cost" numFmtId="0">
      <sharedItems containsSemiMixedTypes="0" containsString="0" containsNumber="1" containsInteger="1" minValue="20000" maxValue="48000"/>
    </cacheField>
    <cacheField name="Profit" numFmtId="0">
      <sharedItems containsSemiMixedTypes="0" containsString="0" containsNumber="1" containsInteger="1" minValue="5000" maxValue="12000"/>
    </cacheField>
    <cacheField name="Target Units" numFmtId="0">
      <sharedItems containsSemiMixedTypes="0" containsString="0" containsNumber="1" containsInteger="1" minValue="700" maxValue="6000"/>
    </cacheField>
    <cacheField name="Target Achievement %" numFmtId="9">
      <sharedItems containsSemiMixedTypes="0" containsString="0" containsNumber="1" containsInteger="1" minValue="1" maxValue="1"/>
    </cacheField>
    <cacheField name="Service Type" numFmtId="0">
      <sharedItems count="5">
        <s v="Oil Change"/>
        <s v="General Service"/>
        <s v="Engine Check"/>
        <s v="Full Service"/>
        <s v="Brake Service"/>
      </sharedItems>
    </cacheField>
    <cacheField name="Service Cost" numFmtId="0">
      <sharedItems containsSemiMixedTypes="0" containsString="0" containsNumber="1" containsInteger="1" minValue="150" maxValue="500"/>
    </cacheField>
    <cacheField name="CSAT Score" numFmtId="0">
      <sharedItems containsSemiMixedTypes="0" containsString="0" containsNumber="1" minValue="4.2" maxValue="4.900000000000000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s v="S001"/>
    <d v="2026-01-05T00:00:00"/>
    <x v="0"/>
    <x v="0"/>
    <x v="0"/>
    <s v="DLR-01"/>
    <x v="0"/>
    <x v="0"/>
    <x v="0"/>
    <x v="0"/>
    <s v="C001"/>
    <n v="32"/>
    <x v="0"/>
    <n v="65000"/>
    <x v="0"/>
    <n v="1"/>
    <n v="30000"/>
    <x v="0"/>
    <n v="24000"/>
    <n v="6000"/>
    <n v="1000"/>
    <n v="1"/>
    <x v="0"/>
    <n v="150"/>
    <n v="4.8"/>
  </r>
  <r>
    <s v="S002"/>
    <d v="2026-01-12T00:00:00"/>
    <x v="0"/>
    <x v="0"/>
    <x v="1"/>
    <s v="DLR-02"/>
    <x v="1"/>
    <x v="1"/>
    <x v="1"/>
    <x v="0"/>
    <s v="C002"/>
    <n v="41"/>
    <x v="1"/>
    <n v="72000"/>
    <x v="1"/>
    <n v="1"/>
    <n v="28000"/>
    <x v="1"/>
    <n v="22000"/>
    <n v="6000"/>
    <n v="900"/>
    <n v="1"/>
    <x v="1"/>
    <n v="250"/>
    <n v="4.5"/>
  </r>
  <r>
    <s v="S003"/>
    <d v="2026-01-18T00:00:00"/>
    <x v="0"/>
    <x v="0"/>
    <x v="2"/>
    <s v="DLR-03"/>
    <x v="2"/>
    <x v="2"/>
    <x v="2"/>
    <x v="1"/>
    <s v="C003"/>
    <n v="38"/>
    <x v="0"/>
    <n v="85000"/>
    <x v="2"/>
    <n v="1"/>
    <n v="40000"/>
    <x v="2"/>
    <n v="33000"/>
    <n v="7000"/>
    <n v="800"/>
    <n v="1"/>
    <x v="2"/>
    <n v="300"/>
    <n v="4.5999999999999996"/>
  </r>
  <r>
    <s v="S004"/>
    <d v="2026-01-25T00:00:00"/>
    <x v="0"/>
    <x v="0"/>
    <x v="3"/>
    <s v="DLR-04"/>
    <x v="3"/>
    <x v="3"/>
    <x v="3"/>
    <x v="0"/>
    <s v="C004"/>
    <n v="29"/>
    <x v="1"/>
    <n v="55000"/>
    <x v="3"/>
    <n v="1"/>
    <n v="25000"/>
    <x v="3"/>
    <n v="20000"/>
    <n v="5000"/>
    <n v="1200"/>
    <n v="1"/>
    <x v="0"/>
    <n v="150"/>
    <n v="4.7"/>
  </r>
  <r>
    <s v="S005"/>
    <d v="2026-02-03T00:00:00"/>
    <x v="0"/>
    <x v="1"/>
    <x v="0"/>
    <s v="DLR-01"/>
    <x v="0"/>
    <x v="4"/>
    <x v="4"/>
    <x v="2"/>
    <s v="C005"/>
    <n v="45"/>
    <x v="0"/>
    <n v="120000"/>
    <x v="2"/>
    <n v="1"/>
    <n v="60000"/>
    <x v="4"/>
    <n v="48000"/>
    <n v="12000"/>
    <n v="1000"/>
    <n v="1"/>
    <x v="3"/>
    <n v="500"/>
    <n v="4.9000000000000004"/>
  </r>
  <r>
    <s v="S006"/>
    <d v="2026-02-10T00:00:00"/>
    <x v="0"/>
    <x v="1"/>
    <x v="1"/>
    <s v="DLR-02"/>
    <x v="1"/>
    <x v="0"/>
    <x v="0"/>
    <x v="0"/>
    <s v="C006"/>
    <n v="36"/>
    <x v="1"/>
    <n v="68000"/>
    <x v="4"/>
    <n v="1"/>
    <n v="30000"/>
    <x v="0"/>
    <n v="24000"/>
    <n v="6000"/>
    <n v="900"/>
    <n v="1"/>
    <x v="4"/>
    <n v="350"/>
    <n v="4.5999999999999996"/>
  </r>
  <r>
    <s v="S007"/>
    <d v="2026-02-16T00:00:00"/>
    <x v="0"/>
    <x v="1"/>
    <x v="2"/>
    <s v="DLR-03"/>
    <x v="2"/>
    <x v="1"/>
    <x v="1"/>
    <x v="0"/>
    <s v="C007"/>
    <n v="27"/>
    <x v="0"/>
    <n v="48000"/>
    <x v="5"/>
    <n v="1"/>
    <n v="28000"/>
    <x v="1"/>
    <n v="22000"/>
    <n v="6000"/>
    <n v="6000"/>
    <n v="1"/>
    <x v="0"/>
    <n v="150"/>
    <n v="4.4000000000000004"/>
  </r>
  <r>
    <s v="S008"/>
    <d v="2026-02-24T00:00:00"/>
    <x v="0"/>
    <x v="1"/>
    <x v="3"/>
    <s v="DLR-04"/>
    <x v="3"/>
    <x v="2"/>
    <x v="2"/>
    <x v="1"/>
    <s v="C008"/>
    <n v="51"/>
    <x v="0"/>
    <n v="95000"/>
    <x v="2"/>
    <n v="1"/>
    <n v="40000"/>
    <x v="2"/>
    <n v="33000"/>
    <n v="7000"/>
    <n v="700"/>
    <n v="1"/>
    <x v="1"/>
    <n v="250"/>
    <n v="4.3"/>
  </r>
  <r>
    <s v="S009"/>
    <d v="2026-03-05T00:00:00"/>
    <x v="0"/>
    <x v="2"/>
    <x v="0"/>
    <s v="DLR-05"/>
    <x v="4"/>
    <x v="3"/>
    <x v="3"/>
    <x v="0"/>
    <s v="C009"/>
    <n v="34"/>
    <x v="1"/>
    <n v="62000"/>
    <x v="6"/>
    <n v="1"/>
    <n v="25000"/>
    <x v="3"/>
    <n v="20000"/>
    <n v="5000"/>
    <n v="750"/>
    <n v="1"/>
    <x v="0"/>
    <n v="150"/>
    <n v="4.7"/>
  </r>
  <r>
    <s v="S010"/>
    <d v="2026-03-14T00:00:00"/>
    <x v="0"/>
    <x v="2"/>
    <x v="1"/>
    <s v="DLR-06"/>
    <x v="5"/>
    <x v="4"/>
    <x v="4"/>
    <x v="0"/>
    <s v="C010"/>
    <n v="43"/>
    <x v="0"/>
    <n v="110000"/>
    <x v="1"/>
    <n v="1"/>
    <n v="60000"/>
    <x v="4"/>
    <n v="48000"/>
    <n v="12000"/>
    <n v="1100"/>
    <n v="1"/>
    <x v="3"/>
    <n v="500"/>
    <n v="4.8"/>
  </r>
  <r>
    <s v="S011"/>
    <d v="2026-03-22T00:00:00"/>
    <x v="0"/>
    <x v="2"/>
    <x v="2"/>
    <s v="DLR-07"/>
    <x v="6"/>
    <x v="0"/>
    <x v="0"/>
    <x v="0"/>
    <s v="C011"/>
    <n v="31"/>
    <x v="0"/>
    <n v="58000"/>
    <x v="5"/>
    <n v="1"/>
    <n v="30000"/>
    <x v="0"/>
    <n v="24000"/>
    <n v="6000"/>
    <n v="700"/>
    <n v="1"/>
    <x v="0"/>
    <n v="150"/>
    <n v="4.5"/>
  </r>
  <r>
    <s v="S012"/>
    <d v="2026-03-29T00:00:00"/>
    <x v="0"/>
    <x v="2"/>
    <x v="3"/>
    <s v="DLR-08"/>
    <x v="7"/>
    <x v="1"/>
    <x v="1"/>
    <x v="0"/>
    <s v="C012"/>
    <n v="39"/>
    <x v="1"/>
    <n v="70000"/>
    <x v="4"/>
    <n v="1"/>
    <n v="28000"/>
    <x v="1"/>
    <n v="22000"/>
    <n v="6000"/>
    <n v="850"/>
    <n v="1"/>
    <x v="4"/>
    <n v="350"/>
    <n v="4.5999999999999996"/>
  </r>
  <r>
    <s v="S013"/>
    <d v="2026-04-07T00:00:00"/>
    <x v="0"/>
    <x v="3"/>
    <x v="0"/>
    <s v="DLR-05"/>
    <x v="4"/>
    <x v="2"/>
    <x v="2"/>
    <x v="1"/>
    <s v="C013"/>
    <n v="47"/>
    <x v="0"/>
    <n v="90000"/>
    <x v="2"/>
    <n v="1"/>
    <n v="40000"/>
    <x v="2"/>
    <n v="33000"/>
    <n v="7000"/>
    <n v="700"/>
    <n v="1"/>
    <x v="2"/>
    <n v="300"/>
    <n v="4.2"/>
  </r>
  <r>
    <s v="S014"/>
    <d v="2026-04-15T00:00:00"/>
    <x v="0"/>
    <x v="3"/>
    <x v="1"/>
    <s v="DLR-06"/>
    <x v="5"/>
    <x v="3"/>
    <x v="3"/>
    <x v="0"/>
    <s v="C014"/>
    <n v="28"/>
    <x v="1"/>
    <n v="52000"/>
    <x v="3"/>
    <n v="1"/>
    <n v="25000"/>
    <x v="3"/>
    <n v="20000"/>
    <n v="5000"/>
    <n v="1000"/>
    <n v="1"/>
    <x v="0"/>
    <n v="150"/>
    <n v="4.7"/>
  </r>
  <r>
    <s v="S015"/>
    <d v="2026-04-23T00:00:00"/>
    <x v="0"/>
    <x v="3"/>
    <x v="2"/>
    <s v="DLR-07"/>
    <x v="6"/>
    <x v="4"/>
    <x v="4"/>
    <x v="2"/>
    <s v="C015"/>
    <n v="50"/>
    <x v="0"/>
    <n v="130000"/>
    <x v="2"/>
    <n v="1"/>
    <n v="60000"/>
    <x v="4"/>
    <n v="48000"/>
    <n v="12000"/>
    <n v="950"/>
    <n v="1"/>
    <x v="3"/>
    <n v="500"/>
    <n v="4.9000000000000004"/>
  </r>
  <r>
    <s v="S016"/>
    <d v="2026-04-30T00:00:00"/>
    <x v="0"/>
    <x v="3"/>
    <x v="3"/>
    <s v="DLR-08"/>
    <x v="7"/>
    <x v="0"/>
    <x v="0"/>
    <x v="0"/>
    <s v="C016"/>
    <n v="35"/>
    <x v="1"/>
    <n v="64000"/>
    <x v="0"/>
    <n v="1"/>
    <n v="30000"/>
    <x v="0"/>
    <n v="24000"/>
    <n v="6000"/>
    <n v="900"/>
    <n v="1"/>
    <x v="1"/>
    <n v="250"/>
    <n v="4.5"/>
  </r>
  <r>
    <s v="S017"/>
    <d v="2026-05-08T00:00:00"/>
    <x v="0"/>
    <x v="4"/>
    <x v="0"/>
    <s v="DLR-01"/>
    <x v="0"/>
    <x v="1"/>
    <x v="1"/>
    <x v="0"/>
    <s v="C017"/>
    <n v="42"/>
    <x v="0"/>
    <n v="76000"/>
    <x v="1"/>
    <n v="1"/>
    <n v="28000"/>
    <x v="1"/>
    <n v="22000"/>
    <n v="6000"/>
    <n v="1000"/>
    <n v="1"/>
    <x v="4"/>
    <n v="350"/>
    <n v="4.5999999999999996"/>
  </r>
  <r>
    <s v="S018"/>
    <d v="2026-05-16T00:00:00"/>
    <x v="0"/>
    <x v="4"/>
    <x v="1"/>
    <s v="DLR-02"/>
    <x v="1"/>
    <x v="2"/>
    <x v="2"/>
    <x v="1"/>
    <s v="C018"/>
    <n v="37"/>
    <x v="0"/>
    <n v="83000"/>
    <x v="2"/>
    <n v="1"/>
    <n v="40000"/>
    <x v="2"/>
    <n v="33000"/>
    <n v="7000"/>
    <n v="900"/>
    <n v="1"/>
    <x v="2"/>
    <n v="300"/>
    <n v="4.4000000000000004"/>
  </r>
  <r>
    <s v="S019"/>
    <d v="2026-05-24T00:00:00"/>
    <x v="0"/>
    <x v="4"/>
    <x v="2"/>
    <s v="DLR-03"/>
    <x v="2"/>
    <x v="3"/>
    <x v="3"/>
    <x v="0"/>
    <s v="C019"/>
    <n v="30"/>
    <x v="1"/>
    <n v="57000"/>
    <x v="3"/>
    <n v="1"/>
    <n v="25000"/>
    <x v="3"/>
    <n v="20000"/>
    <n v="5000"/>
    <n v="800"/>
    <n v="1"/>
    <x v="0"/>
    <n v="150"/>
    <n v="4.8"/>
  </r>
  <r>
    <s v="S020"/>
    <d v="2026-05-31T00:00:00"/>
    <x v="0"/>
    <x v="4"/>
    <x v="3"/>
    <s v="DLR-04"/>
    <x v="3"/>
    <x v="4"/>
    <x v="4"/>
    <x v="2"/>
    <s v="C020"/>
    <n v="46"/>
    <x v="0"/>
    <n v="115000"/>
    <x v="1"/>
    <n v="1"/>
    <n v="60000"/>
    <x v="4"/>
    <n v="48000"/>
    <n v="12000"/>
    <n v="1200"/>
    <n v="1"/>
    <x v="3"/>
    <n v="500"/>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6:B32"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s>
  <rowFields count="1">
    <field x="7"/>
  </rowFields>
  <rowItems count="6">
    <i>
      <x/>
    </i>
    <i>
      <x v="1"/>
    </i>
    <i>
      <x v="2"/>
    </i>
    <i>
      <x v="3"/>
    </i>
    <i>
      <x v="4"/>
    </i>
    <i t="grand">
      <x/>
    </i>
  </rowItems>
  <colItems count="1">
    <i/>
  </colItems>
  <dataFields count="1">
    <dataField name="Sum of Profit" fld="1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3:B19"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9" showAll="0"/>
    <pivotField showAll="0"/>
    <pivotField showAll="0"/>
    <pivotField showAll="0"/>
  </pivotFields>
  <rowFields count="1">
    <field x="7"/>
  </rowFields>
  <rowItems count="6">
    <i>
      <x/>
    </i>
    <i>
      <x v="1"/>
    </i>
    <i>
      <x v="2"/>
    </i>
    <i>
      <x v="3"/>
    </i>
    <i>
      <x v="4"/>
    </i>
    <i t="grand">
      <x/>
    </i>
  </rowItems>
  <colItems count="1">
    <i/>
  </colItems>
  <dataFields count="1">
    <dataField name="Sum of Units Sold" fld="15" baseField="0"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F3:G9"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pivotFields>
  <rowFields count="1">
    <field x="7"/>
  </rowFields>
  <rowItems count="6">
    <i>
      <x/>
    </i>
    <i>
      <x v="1"/>
    </i>
    <i>
      <x v="2"/>
    </i>
    <i>
      <x v="3"/>
    </i>
    <i>
      <x v="4"/>
    </i>
    <i t="grand">
      <x/>
    </i>
  </rowItems>
  <colItems count="1">
    <i/>
  </colItems>
  <dataFields count="1">
    <dataField name="Sum of Revenue" fld="17" baseField="0" baseItem="0"/>
  </dataFields>
  <chartFormats count="2">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9"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pivotField dataField="1" showAll="0"/>
    <pivotField showAll="0"/>
    <pivotField numFmtId="9" showAll="0"/>
    <pivotField showAll="0"/>
    <pivotField showAll="0"/>
    <pivotField showAll="0"/>
  </pivotFields>
  <rowFields count="1">
    <field x="7"/>
  </rowFields>
  <rowItems count="6">
    <i>
      <x/>
    </i>
    <i>
      <x v="1"/>
    </i>
    <i>
      <x v="2"/>
    </i>
    <i>
      <x v="3"/>
    </i>
    <i>
      <x v="4"/>
    </i>
    <i t="grand">
      <x/>
    </i>
  </rowItems>
  <colFields count="1">
    <field x="-2"/>
  </colFields>
  <colItems count="3">
    <i>
      <x/>
    </i>
    <i i="1">
      <x v="1"/>
    </i>
    <i i="2">
      <x v="2"/>
    </i>
  </colItems>
  <dataFields count="3">
    <dataField name="Sum of Units Sold" fld="15" baseField="0" baseItem="0"/>
    <dataField name="Sum of Revenue" fld="17" baseField="0" baseItem="0"/>
    <dataField name="Sum of Profit" fld="19" baseField="0" baseItem="0"/>
  </dataFields>
  <chartFormats count="3">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G9"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axis="axisRow" showAll="0">
      <items count="6">
        <item x="1"/>
        <item x="2"/>
        <item x="0"/>
        <item x="3"/>
        <item x="4"/>
        <item t="default"/>
      </items>
    </pivotField>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pivotFields>
  <rowFields count="1">
    <field x="8"/>
  </rowFields>
  <rowItems count="6">
    <i>
      <x/>
    </i>
    <i>
      <x v="1"/>
    </i>
    <i>
      <x v="2"/>
    </i>
    <i>
      <x v="3"/>
    </i>
    <i>
      <x v="4"/>
    </i>
    <i t="grand">
      <x/>
    </i>
  </rowItems>
  <colItems count="1">
    <i/>
  </colItems>
  <dataFields count="1">
    <dataField name="Sum of Revenue" fld="17"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axis="axisRow" showAll="0">
      <items count="6">
        <item x="1"/>
        <item x="2"/>
        <item x="0"/>
        <item x="3"/>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pivotField dataField="1" showAll="0"/>
    <pivotField showAll="0"/>
    <pivotField numFmtId="9" showAll="0"/>
    <pivotField showAll="0"/>
    <pivotField showAll="0"/>
    <pivotField showAll="0"/>
  </pivotFields>
  <rowFields count="1">
    <field x="8"/>
  </rowFields>
  <rowItems count="6">
    <i>
      <x/>
    </i>
    <i>
      <x v="1"/>
    </i>
    <i>
      <x v="2"/>
    </i>
    <i>
      <x v="3"/>
    </i>
    <i>
      <x v="4"/>
    </i>
    <i t="grand">
      <x/>
    </i>
  </rowItems>
  <colFields count="1">
    <field x="-2"/>
  </colFields>
  <colItems count="3">
    <i>
      <x/>
    </i>
    <i i="1">
      <x v="1"/>
    </i>
    <i i="2">
      <x v="2"/>
    </i>
  </colItems>
  <dataFields count="3">
    <dataField name="Sum of Units Sold" fld="15" baseField="0" baseItem="0"/>
    <dataField name="Sum of Revenue" fld="17" baseField="0" baseItem="0"/>
    <dataField name="Sum of Profit"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6:H22"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axis="axisRow" showAll="0">
      <items count="6">
        <item x="1"/>
        <item x="2"/>
        <item x="0"/>
        <item x="3"/>
        <item x="4"/>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s>
  <rowFields count="1">
    <field x="8"/>
  </rowFields>
  <rowItems count="6">
    <i>
      <x/>
    </i>
    <i>
      <x v="1"/>
    </i>
    <i>
      <x v="2"/>
    </i>
    <i>
      <x v="3"/>
    </i>
    <i>
      <x v="4"/>
    </i>
    <i t="grand">
      <x/>
    </i>
  </rowItems>
  <colItems count="1">
    <i/>
  </colItems>
  <dataFields count="1">
    <dataField name="Sum of Profit" fld="19"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4:B20"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axis="axisRow" showAll="0">
      <items count="6">
        <item x="1"/>
        <item x="2"/>
        <item x="0"/>
        <item x="3"/>
        <item x="4"/>
        <item t="default"/>
      </items>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9" showAll="0"/>
    <pivotField showAll="0"/>
    <pivotField showAll="0"/>
    <pivotField showAll="0"/>
  </pivotFields>
  <rowFields count="1">
    <field x="8"/>
  </rowFields>
  <rowItems count="6">
    <i>
      <x/>
    </i>
    <i>
      <x v="1"/>
    </i>
    <i>
      <x v="2"/>
    </i>
    <i>
      <x v="3"/>
    </i>
    <i>
      <x v="4"/>
    </i>
    <i t="grand">
      <x/>
    </i>
  </rowItems>
  <colItems count="1">
    <i/>
  </colItems>
  <dataFields count="1">
    <dataField name="Sum of Units Sold" fld="15"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17:I23" firstHeaderRow="1" firstDataRow="1" firstDataCol="1"/>
  <pivotFields count="25">
    <pivotField showAll="0"/>
    <pivotField numFmtId="15" showAll="0"/>
    <pivotField showAll="0">
      <items count="2">
        <item x="0"/>
        <item t="default"/>
      </items>
    </pivotField>
    <pivotField axis="axisRow"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s>
  <rowFields count="1">
    <field x="3"/>
  </rowFields>
  <rowItems count="6">
    <i>
      <x/>
    </i>
    <i>
      <x v="1"/>
    </i>
    <i>
      <x v="2"/>
    </i>
    <i>
      <x v="3"/>
    </i>
    <i>
      <x v="4"/>
    </i>
    <i t="grand">
      <x/>
    </i>
  </rowItems>
  <colItems count="1">
    <i/>
  </colItems>
  <dataFields count="1">
    <dataField name="Sum of Profit" fld="19"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4:B20" firstHeaderRow="1" firstDataRow="1" firstDataCol="1"/>
  <pivotFields count="25">
    <pivotField showAll="0"/>
    <pivotField numFmtId="15" showAll="0"/>
    <pivotField showAll="0">
      <items count="2">
        <item x="0"/>
        <item t="default"/>
      </items>
    </pivotField>
    <pivotField axis="axisRow"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9" showAll="0"/>
    <pivotField showAll="0"/>
    <pivotField showAll="0"/>
    <pivotField showAll="0"/>
  </pivotFields>
  <rowFields count="1">
    <field x="3"/>
  </rowFields>
  <rowItems count="6">
    <i>
      <x/>
    </i>
    <i>
      <x v="1"/>
    </i>
    <i>
      <x v="2"/>
    </i>
    <i>
      <x v="3"/>
    </i>
    <i>
      <x v="4"/>
    </i>
    <i t="grand">
      <x/>
    </i>
  </rowItems>
  <colItems count="1">
    <i/>
  </colItems>
  <dataFields count="1">
    <dataField name="Sum of Units Sold" fld="15"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9" firstHeaderRow="1" firstDataRow="1" firstDataCol="1"/>
  <pivotFields count="25">
    <pivotField showAll="0"/>
    <pivotField numFmtId="15" showAll="0"/>
    <pivotField showAll="0">
      <items count="2">
        <item x="0"/>
        <item t="default"/>
      </items>
    </pivotField>
    <pivotField axis="axisRow"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pivotFields>
  <rowFields count="1">
    <field x="3"/>
  </rowFields>
  <rowItems count="6">
    <i>
      <x/>
    </i>
    <i>
      <x v="1"/>
    </i>
    <i>
      <x v="2"/>
    </i>
    <i>
      <x v="3"/>
    </i>
    <i>
      <x v="4"/>
    </i>
    <i t="grand">
      <x/>
    </i>
  </rowItems>
  <colItems count="1">
    <i/>
  </colItems>
  <dataFields count="1">
    <dataField name="Sum of Revenue" fld="17"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0" firstDataRow="1" firstDataCol="1"/>
  <pivotFields count="25">
    <pivotField showAll="0"/>
    <pivotField numFmtId="15" showAll="0"/>
    <pivotField showAll="0">
      <items count="2">
        <item x="0"/>
        <item t="default"/>
      </items>
    </pivotField>
    <pivotField axis="axisRow"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pivotField dataField="1" showAll="0"/>
    <pivotField showAll="0"/>
    <pivotField numFmtId="9" showAll="0"/>
    <pivotField showAll="0"/>
    <pivotField showAll="0"/>
    <pivotField showAll="0"/>
  </pivotFields>
  <rowFields count="1">
    <field x="3"/>
  </rowFields>
  <rowItems count="6">
    <i>
      <x/>
    </i>
    <i>
      <x v="1"/>
    </i>
    <i>
      <x v="2"/>
    </i>
    <i>
      <x v="3"/>
    </i>
    <i>
      <x v="4"/>
    </i>
    <i t="grand">
      <x/>
    </i>
  </rowItems>
  <colFields count="1">
    <field x="-2"/>
  </colFields>
  <colItems count="3">
    <i>
      <x/>
    </i>
    <i i="1">
      <x v="1"/>
    </i>
    <i i="2">
      <x v="2"/>
    </i>
  </colItems>
  <dataFields count="3">
    <dataField name="Sum of Revenue" fld="17" baseField="0" baseItem="0"/>
    <dataField name="Sum of Units Sold" fld="15" baseField="0" baseItem="0"/>
    <dataField name="Sum of Profit"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3:H12"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axis="axisRow"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numFmtId="9"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Revenue" fld="17"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2"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axis="axisRow"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pivotField dataField="1" showAll="0"/>
    <pivotField dataField="1" showAll="0"/>
    <pivotField numFmtId="9" showAll="0"/>
    <pivotField showAll="0"/>
    <pivotField showAll="0"/>
    <pivotField showAll="0"/>
  </pivotFields>
  <rowFields count="1">
    <field x="6"/>
  </rowFields>
  <rowItems count="9">
    <i>
      <x/>
    </i>
    <i>
      <x v="1"/>
    </i>
    <i>
      <x v="2"/>
    </i>
    <i>
      <x v="3"/>
    </i>
    <i>
      <x v="4"/>
    </i>
    <i>
      <x v="5"/>
    </i>
    <i>
      <x v="6"/>
    </i>
    <i>
      <x v="7"/>
    </i>
    <i t="grand">
      <x/>
    </i>
  </rowItems>
  <colFields count="1">
    <field x="-2"/>
  </colFields>
  <colItems count="4">
    <i>
      <x/>
    </i>
    <i i="1">
      <x v="1"/>
    </i>
    <i i="2">
      <x v="2"/>
    </i>
    <i i="3">
      <x v="3"/>
    </i>
  </colItems>
  <dataFields count="4">
    <dataField name="Sum of Target Units" fld="20" baseField="0" baseItem="0"/>
    <dataField name="Sum of Units Sold" fld="15" baseField="0" baseItem="0"/>
    <dataField name="Sum of Revenue" fld="17"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8:B37"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axis="axisRow"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Target Achievement %" fld="21" baseField="0" baseItem="0"/>
  </dataFields>
  <chartFormats count="2">
    <chartFormat chart="8" format="3"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15:I24"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axis="axisRow"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dataField="1" showAll="0"/>
  </pivotFields>
  <rowFields count="1">
    <field x="6"/>
  </rowFields>
  <rowItems count="9">
    <i>
      <x/>
    </i>
    <i>
      <x v="1"/>
    </i>
    <i>
      <x v="2"/>
    </i>
    <i>
      <x v="3"/>
    </i>
    <i>
      <x v="4"/>
    </i>
    <i>
      <x v="5"/>
    </i>
    <i>
      <x v="6"/>
    </i>
    <i>
      <x v="7"/>
    </i>
    <i t="grand">
      <x/>
    </i>
  </rowItems>
  <colItems count="1">
    <i/>
  </colItems>
  <dataFields count="1">
    <dataField name="Sum of CSAT Score" fld="24"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5:B24"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axis="axisRow"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 showAll="0"/>
  </pivotFields>
  <rowFields count="1">
    <field x="6"/>
  </rowFields>
  <rowItems count="9">
    <i>
      <x/>
    </i>
    <i>
      <x v="1"/>
    </i>
    <i>
      <x v="2"/>
    </i>
    <i>
      <x v="3"/>
    </i>
    <i>
      <x v="4"/>
    </i>
    <i>
      <x v="5"/>
    </i>
    <i>
      <x v="6"/>
    </i>
    <i>
      <x v="7"/>
    </i>
    <i t="grand">
      <x/>
    </i>
  </rowItems>
  <colItems count="1">
    <i/>
  </colItems>
  <dataFields count="1">
    <dataField name="Sum of Target Units" fld="20"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1:B24"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axis="axisRow" showAll="0">
      <items count="3">
        <item x="1"/>
        <item x="0"/>
        <item t="default"/>
      </items>
    </pivotField>
    <pivotField showAll="0"/>
    <pivotField dataField="1" showAll="0">
      <items count="8">
        <item x="2"/>
        <item x="6"/>
        <item x="4"/>
        <item x="5"/>
        <item x="0"/>
        <item x="1"/>
        <item x="3"/>
        <item t="default"/>
      </items>
    </pivotField>
    <pivotField showAll="0"/>
    <pivotField showAll="0"/>
    <pivotField showAll="0"/>
    <pivotField showAll="0"/>
    <pivotField showAll="0"/>
    <pivotField showAll="0"/>
    <pivotField numFmtId="9" showAll="0"/>
    <pivotField showAll="0"/>
    <pivotField showAll="0"/>
    <pivotField showAll="0"/>
  </pivotFields>
  <rowFields count="1">
    <field x="12"/>
  </rowFields>
  <rowItems count="3">
    <i>
      <x/>
    </i>
    <i>
      <x v="1"/>
    </i>
    <i t="grand">
      <x/>
    </i>
  </rowItems>
  <colItems count="1">
    <i/>
  </colItems>
  <dataFields count="1">
    <dataField name="Count of Occupation" fld="14" subtotal="count" baseField="0"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9:B12"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s>
  <rowFields count="1">
    <field x="12"/>
  </rowFields>
  <rowItems count="3">
    <i>
      <x/>
    </i>
    <i>
      <x v="1"/>
    </i>
    <i t="grand">
      <x/>
    </i>
  </rowItems>
  <colItems count="1">
    <i/>
  </colItems>
  <dataFields count="1">
    <dataField name="Sum of Customer Age" fld="11" baseField="0" baseItem="0"/>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D3:E6"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s>
  <rowFields count="1">
    <field x="12"/>
  </rowFields>
  <rowItems count="3">
    <i>
      <x/>
    </i>
    <i>
      <x v="1"/>
    </i>
    <i t="grand">
      <x/>
    </i>
  </rowItems>
  <colItems count="1">
    <i/>
  </colItems>
  <dataFields count="1">
    <dataField name="Count of Customer ID" fld="10" subtotal="count" baseField="0" baseItem="0"/>
  </dataFields>
  <chartFormats count="3">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2" count="1" selected="0">
            <x v="0"/>
          </reference>
        </references>
      </pivotArea>
    </chartFormat>
    <chartFormat chart="7" format="1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s>
  <rowFields count="1">
    <field x="12"/>
  </rowFields>
  <rowItems count="3">
    <i>
      <x/>
    </i>
    <i>
      <x v="1"/>
    </i>
    <i t="grand">
      <x/>
    </i>
  </rowItems>
  <colItems count="1">
    <i/>
  </colItems>
  <dataFields count="1">
    <dataField name="Count of Customer I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H3:I8"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axis="axisRow"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9" showAll="0"/>
    <pivotField showAll="0"/>
    <pivotField showAll="0"/>
    <pivotField showAll="0"/>
  </pivotFields>
  <rowFields count="1">
    <field x="4"/>
  </rowFields>
  <rowItems count="5">
    <i>
      <x/>
    </i>
    <i>
      <x v="1"/>
    </i>
    <i>
      <x v="2"/>
    </i>
    <i>
      <x v="3"/>
    </i>
    <i t="grand">
      <x/>
    </i>
  </rowItems>
  <colItems count="1">
    <i/>
  </colItems>
  <dataFields count="1">
    <dataField name="Sum of Units Sold" fld="15"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8"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axis="axisRow"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dataField="1" showAll="0"/>
    <pivotField showAll="0"/>
    <pivotField dataField="1" showAll="0"/>
    <pivotField showAll="0"/>
    <pivotField numFmtId="9" showAll="0"/>
    <pivotField showAll="0"/>
    <pivotField showAll="0"/>
    <pivotField showAll="0"/>
  </pivotFields>
  <rowFields count="1">
    <field x="4"/>
  </rowFields>
  <rowItems count="5">
    <i>
      <x/>
    </i>
    <i>
      <x v="1"/>
    </i>
    <i>
      <x v="2"/>
    </i>
    <i>
      <x v="3"/>
    </i>
    <i t="grand">
      <x/>
    </i>
  </rowItems>
  <colFields count="1">
    <field x="-2"/>
  </colFields>
  <colItems count="3">
    <i>
      <x/>
    </i>
    <i i="1">
      <x v="1"/>
    </i>
    <i i="2">
      <x v="2"/>
    </i>
  </colItems>
  <dataFields count="3">
    <dataField name="Sum of Revenue" fld="17" baseField="0" baseItem="0"/>
    <dataField name="Sum of Units Sold" fld="15" baseField="0" baseItem="0"/>
    <dataField name="Sum of Profit" fld="19" baseField="0" baseItem="0"/>
  </dataFields>
  <chartFormats count="36">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5" format="5">
      <pivotArea type="data" outline="0" fieldPosition="0">
        <references count="2">
          <reference field="4294967294" count="1" selected="0">
            <x v="0"/>
          </reference>
          <reference field="4" count="1" selected="0">
            <x v="1"/>
          </reference>
        </references>
      </pivotArea>
    </chartFormat>
    <chartFormat chart="5" format="6">
      <pivotArea type="data" outline="0" fieldPosition="0">
        <references count="2">
          <reference field="4294967294" count="1" selected="0">
            <x v="0"/>
          </reference>
          <reference field="4" count="1" selected="0">
            <x v="2"/>
          </reference>
        </references>
      </pivotArea>
    </chartFormat>
    <chartFormat chart="5" format="7">
      <pivotArea type="data" outline="0" fieldPosition="0">
        <references count="2">
          <reference field="4294967294" count="1" selected="0">
            <x v="0"/>
          </reference>
          <reference field="4" count="1" selected="0">
            <x v="3"/>
          </reference>
        </references>
      </pivotArea>
    </chartFormat>
    <chartFormat chart="5" format="8" series="1">
      <pivotArea type="data" outline="0" fieldPosition="0">
        <references count="1">
          <reference field="4294967294" count="1" selected="0">
            <x v="1"/>
          </reference>
        </references>
      </pivotArea>
    </chartFormat>
    <chartFormat chart="5" format="9">
      <pivotArea type="data" outline="0" fieldPosition="0">
        <references count="2">
          <reference field="4294967294" count="1" selected="0">
            <x v="1"/>
          </reference>
          <reference field="4" count="1" selected="0">
            <x v="0"/>
          </reference>
        </references>
      </pivotArea>
    </chartFormat>
    <chartFormat chart="5" format="10">
      <pivotArea type="data" outline="0" fieldPosition="0">
        <references count="2">
          <reference field="4294967294" count="1" selected="0">
            <x v="1"/>
          </reference>
          <reference field="4" count="1" selected="0">
            <x v="1"/>
          </reference>
        </references>
      </pivotArea>
    </chartFormat>
    <chartFormat chart="5" format="11">
      <pivotArea type="data" outline="0" fieldPosition="0">
        <references count="2">
          <reference field="4294967294" count="1" selected="0">
            <x v="1"/>
          </reference>
          <reference field="4" count="1" selected="0">
            <x v="2"/>
          </reference>
        </references>
      </pivotArea>
    </chartFormat>
    <chartFormat chart="5" format="12">
      <pivotArea type="data" outline="0" fieldPosition="0">
        <references count="2">
          <reference field="4294967294" count="1" selected="0">
            <x v="1"/>
          </reference>
          <reference field="4" count="1" selected="0">
            <x v="3"/>
          </reference>
        </references>
      </pivotArea>
    </chartFormat>
    <chartFormat chart="5" format="13" series="1">
      <pivotArea type="data" outline="0" fieldPosition="0">
        <references count="1">
          <reference field="4294967294" count="1" selected="0">
            <x v="2"/>
          </reference>
        </references>
      </pivotArea>
    </chartFormat>
    <chartFormat chart="5" format="14">
      <pivotArea type="data" outline="0" fieldPosition="0">
        <references count="2">
          <reference field="4294967294" count="1" selected="0">
            <x v="2"/>
          </reference>
          <reference field="4" count="1" selected="0">
            <x v="0"/>
          </reference>
        </references>
      </pivotArea>
    </chartFormat>
    <chartFormat chart="5" format="15">
      <pivotArea type="data" outline="0" fieldPosition="0">
        <references count="2">
          <reference field="4294967294" count="1" selected="0">
            <x v="2"/>
          </reference>
          <reference field="4" count="1" selected="0">
            <x v="1"/>
          </reference>
        </references>
      </pivotArea>
    </chartFormat>
    <chartFormat chart="5" format="16">
      <pivotArea type="data" outline="0" fieldPosition="0">
        <references count="2">
          <reference field="4294967294" count="1" selected="0">
            <x v="2"/>
          </reference>
          <reference field="4" count="1" selected="0">
            <x v="2"/>
          </reference>
        </references>
      </pivotArea>
    </chartFormat>
    <chartFormat chart="5" format="17">
      <pivotArea type="data" outline="0" fieldPosition="0">
        <references count="2">
          <reference field="4294967294" count="1" selected="0">
            <x v="2"/>
          </reference>
          <reference field="4" count="1" selected="0">
            <x v="3"/>
          </reference>
        </references>
      </pivotArea>
    </chartFormat>
    <chartFormat chart="6" format="36" series="1">
      <pivotArea type="data" outline="0" fieldPosition="0">
        <references count="1">
          <reference field="4294967294" count="1" selected="0">
            <x v="0"/>
          </reference>
        </references>
      </pivotArea>
    </chartFormat>
    <chartFormat chart="6" format="37" series="1">
      <pivotArea type="data" outline="0" fieldPosition="0">
        <references count="1">
          <reference field="4294967294" count="1" selected="0">
            <x v="1"/>
          </reference>
        </references>
      </pivotArea>
    </chartFormat>
    <chartFormat chart="6" format="38" series="1">
      <pivotArea type="data" outline="0" fieldPosition="0">
        <references count="1">
          <reference field="4294967294" count="1" selected="0">
            <x v="2"/>
          </reference>
        </references>
      </pivotArea>
    </chartFormat>
    <chartFormat chart="6" format="39">
      <pivotArea type="data" outline="0" fieldPosition="0">
        <references count="2">
          <reference field="4294967294" count="1" selected="0">
            <x v="0"/>
          </reference>
          <reference field="4" count="1" selected="0">
            <x v="0"/>
          </reference>
        </references>
      </pivotArea>
    </chartFormat>
    <chartFormat chart="6" format="40">
      <pivotArea type="data" outline="0" fieldPosition="0">
        <references count="2">
          <reference field="4294967294" count="1" selected="0">
            <x v="0"/>
          </reference>
          <reference field="4" count="1" selected="0">
            <x v="1"/>
          </reference>
        </references>
      </pivotArea>
    </chartFormat>
    <chartFormat chart="6" format="41">
      <pivotArea type="data" outline="0" fieldPosition="0">
        <references count="2">
          <reference field="4294967294" count="1" selected="0">
            <x v="0"/>
          </reference>
          <reference field="4" count="1" selected="0">
            <x v="2"/>
          </reference>
        </references>
      </pivotArea>
    </chartFormat>
    <chartFormat chart="6" format="42">
      <pivotArea type="data" outline="0" fieldPosition="0">
        <references count="2">
          <reference field="4294967294" count="1" selected="0">
            <x v="0"/>
          </reference>
          <reference field="4" count="1" selected="0">
            <x v="3"/>
          </reference>
        </references>
      </pivotArea>
    </chartFormat>
    <chartFormat chart="6" format="43">
      <pivotArea type="data" outline="0" fieldPosition="0">
        <references count="2">
          <reference field="4294967294" count="1" selected="0">
            <x v="1"/>
          </reference>
          <reference field="4" count="1" selected="0">
            <x v="0"/>
          </reference>
        </references>
      </pivotArea>
    </chartFormat>
    <chartFormat chart="6" format="44">
      <pivotArea type="data" outline="0" fieldPosition="0">
        <references count="2">
          <reference field="4294967294" count="1" selected="0">
            <x v="1"/>
          </reference>
          <reference field="4" count="1" selected="0">
            <x v="1"/>
          </reference>
        </references>
      </pivotArea>
    </chartFormat>
    <chartFormat chart="6" format="45">
      <pivotArea type="data" outline="0" fieldPosition="0">
        <references count="2">
          <reference field="4294967294" count="1" selected="0">
            <x v="1"/>
          </reference>
          <reference field="4" count="1" selected="0">
            <x v="2"/>
          </reference>
        </references>
      </pivotArea>
    </chartFormat>
    <chartFormat chart="6" format="46">
      <pivotArea type="data" outline="0" fieldPosition="0">
        <references count="2">
          <reference field="4294967294" count="1" selected="0">
            <x v="1"/>
          </reference>
          <reference field="4" count="1" selected="0">
            <x v="3"/>
          </reference>
        </references>
      </pivotArea>
    </chartFormat>
    <chartFormat chart="6" format="47">
      <pivotArea type="data" outline="0" fieldPosition="0">
        <references count="2">
          <reference field="4294967294" count="1" selected="0">
            <x v="2"/>
          </reference>
          <reference field="4" count="1" selected="0">
            <x v="0"/>
          </reference>
        </references>
      </pivotArea>
    </chartFormat>
    <chartFormat chart="6" format="48">
      <pivotArea type="data" outline="0" fieldPosition="0">
        <references count="2">
          <reference field="4294967294" count="1" selected="0">
            <x v="2"/>
          </reference>
          <reference field="4" count="1" selected="0">
            <x v="1"/>
          </reference>
        </references>
      </pivotArea>
    </chartFormat>
    <chartFormat chart="6" format="49">
      <pivotArea type="data" outline="0" fieldPosition="0">
        <references count="2">
          <reference field="4294967294" count="1" selected="0">
            <x v="2"/>
          </reference>
          <reference field="4" count="1" selected="0">
            <x v="2"/>
          </reference>
        </references>
      </pivotArea>
    </chartFormat>
    <chartFormat chart="6" format="50">
      <pivotArea type="data" outline="0" fieldPosition="0">
        <references count="2">
          <reference field="4294967294"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7:B22"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axis="axisRow"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s>
  <rowFields count="1">
    <field x="4"/>
  </rowFields>
  <rowItems count="5">
    <i>
      <x/>
    </i>
    <i>
      <x v="1"/>
    </i>
    <i>
      <x v="2"/>
    </i>
    <i>
      <x v="3"/>
    </i>
    <i t="grand">
      <x/>
    </i>
  </rowItems>
  <colItems count="1">
    <i/>
  </colItems>
  <dataFields count="1">
    <dataField name="Sum of Profit" fld="19"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16:H22"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axis="axisRow" dataField="1" showAll="0">
      <items count="6">
        <item x="4"/>
        <item x="2"/>
        <item x="3"/>
        <item x="1"/>
        <item x="0"/>
        <item t="default"/>
      </items>
    </pivotField>
    <pivotField showAll="0"/>
    <pivotField showAll="0"/>
  </pivotFields>
  <rowFields count="1">
    <field x="22"/>
  </rowFields>
  <rowItems count="6">
    <i>
      <x/>
    </i>
    <i>
      <x v="1"/>
    </i>
    <i>
      <x v="2"/>
    </i>
    <i>
      <x v="3"/>
    </i>
    <i>
      <x v="4"/>
    </i>
    <i t="grand">
      <x/>
    </i>
  </rowItems>
  <colItems count="1">
    <i/>
  </colItems>
  <dataFields count="1">
    <dataField name="Count of Service Type" fld="22" subtotal="count"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3:B19"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axis="axisRow" showAll="0">
      <items count="6">
        <item x="4"/>
        <item x="2"/>
        <item x="3"/>
        <item x="1"/>
        <item x="0"/>
        <item t="default"/>
      </items>
    </pivotField>
    <pivotField showAll="0"/>
    <pivotField dataField="1" showAll="0"/>
  </pivotFields>
  <rowFields count="1">
    <field x="22"/>
  </rowFields>
  <rowItems count="6">
    <i>
      <x/>
    </i>
    <i>
      <x v="1"/>
    </i>
    <i>
      <x v="2"/>
    </i>
    <i>
      <x v="3"/>
    </i>
    <i>
      <x v="4"/>
    </i>
    <i t="grand">
      <x/>
    </i>
  </rowItems>
  <colItems count="1">
    <i/>
  </colItems>
  <dataFields count="1">
    <dataField name="Sum of CSAT Score" fld="24"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3:F9"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axis="axisRow" showAll="0">
      <items count="6">
        <item x="4"/>
        <item x="2"/>
        <item x="3"/>
        <item x="1"/>
        <item x="0"/>
        <item t="default"/>
      </items>
    </pivotField>
    <pivotField dataField="1" showAll="0"/>
    <pivotField showAll="0"/>
  </pivotFields>
  <rowFields count="1">
    <field x="22"/>
  </rowFields>
  <rowItems count="6">
    <i>
      <x/>
    </i>
    <i>
      <x v="1"/>
    </i>
    <i>
      <x v="2"/>
    </i>
    <i>
      <x v="3"/>
    </i>
    <i>
      <x v="4"/>
    </i>
    <i t="grand">
      <x/>
    </i>
  </rowItems>
  <colItems count="1">
    <i/>
  </colItems>
  <dataFields count="1">
    <dataField name="Sum of Service Cost" fld="23"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9"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axis="axisRow" dataField="1" showAll="0">
      <items count="6">
        <item x="4"/>
        <item x="2"/>
        <item x="3"/>
        <item x="1"/>
        <item x="0"/>
        <item t="default"/>
      </items>
    </pivotField>
    <pivotField dataField="1" showAll="0"/>
    <pivotField dataField="1" showAll="0"/>
  </pivotFields>
  <rowFields count="1">
    <field x="22"/>
  </rowFields>
  <rowItems count="6">
    <i>
      <x/>
    </i>
    <i>
      <x v="1"/>
    </i>
    <i>
      <x v="2"/>
    </i>
    <i>
      <x v="3"/>
    </i>
    <i>
      <x v="4"/>
    </i>
    <i t="grand">
      <x/>
    </i>
  </rowItems>
  <colFields count="1">
    <field x="-2"/>
  </colFields>
  <colItems count="3">
    <i>
      <x/>
    </i>
    <i i="1">
      <x v="1"/>
    </i>
    <i i="2">
      <x v="2"/>
    </i>
  </colItems>
  <dataFields count="3">
    <dataField name="Sum of Service Cost" fld="23" baseField="0" baseItem="0"/>
    <dataField name="Sum of CSAT Score" fld="24" baseField="0" baseItem="0"/>
    <dataField name="Count of Service Type" fld="22" subtotal="count" baseField="0" baseItem="0"/>
  </dataFields>
  <chartFormats count="3">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D9"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numFmtId="9" showAll="0"/>
    <pivotField showAll="0"/>
    <pivotField showAll="0"/>
    <pivotField showAll="0"/>
  </pivotFields>
  <rowFields count="1">
    <field x="7"/>
  </rowFields>
  <rowItems count="6">
    <i>
      <x/>
    </i>
    <i>
      <x v="1"/>
    </i>
    <i>
      <x v="2"/>
    </i>
    <i>
      <x v="3"/>
    </i>
    <i>
      <x v="4"/>
    </i>
    <i t="grand">
      <x/>
    </i>
  </rowItems>
  <colFields count="1">
    <field x="-2"/>
  </colFields>
  <colItems count="3">
    <i>
      <x/>
    </i>
    <i i="1">
      <x v="1"/>
    </i>
    <i i="2">
      <x v="2"/>
    </i>
  </colItems>
  <dataFields count="3">
    <dataField name="Sum of Revenue" fld="17" baseField="0" baseItem="0"/>
    <dataField name="Sum of Cost" fld="18" baseField="0" baseItem="0"/>
    <dataField name="Sum of Profit" fld="19" baseField="0" baseItem="0"/>
  </dataFields>
  <chartFormats count="21">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6:C22" firstHeaderRow="0"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numFmtId="9" showAll="0"/>
    <pivotField showAll="0"/>
    <pivotField showAll="0"/>
    <pivotField showAll="0"/>
  </pivotFields>
  <rowFields count="1">
    <field x="7"/>
  </rowFields>
  <rowItems count="6">
    <i>
      <x/>
    </i>
    <i>
      <x v="1"/>
    </i>
    <i>
      <x v="2"/>
    </i>
    <i>
      <x v="3"/>
    </i>
    <i>
      <x v="4"/>
    </i>
    <i t="grand">
      <x/>
    </i>
  </rowItems>
  <colFields count="1">
    <field x="-2"/>
  </colFields>
  <colItems count="2">
    <i>
      <x/>
    </i>
    <i i="1">
      <x v="1"/>
    </i>
  </colItems>
  <dataFields count="2">
    <dataField name="Sum of Revenue" fld="17" baseField="0" baseItem="0"/>
    <dataField name="Sum of Profit" fld="19" baseField="0" baseItem="0"/>
  </dataFields>
  <chartFormats count="6">
    <chartFormat chart="0" format="2"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3:N9" firstHeaderRow="1" firstDataRow="1" firstDataCol="1"/>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axis="axisRow"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pivotField showAll="0"/>
    <pivotField showAll="0"/>
  </pivotFields>
  <rowFields count="1">
    <field x="7"/>
  </rowFields>
  <rowItems count="6">
    <i>
      <x/>
    </i>
    <i>
      <x v="1"/>
    </i>
    <i>
      <x v="2"/>
    </i>
    <i>
      <x v="3"/>
    </i>
    <i>
      <x v="4"/>
    </i>
    <i t="grand">
      <x/>
    </i>
  </rowItems>
  <colItems count="1">
    <i/>
  </colItems>
  <dataFields count="1">
    <dataField name="Sum of Profit" fld="19" baseField="0" baseItem="0"/>
  </dataFields>
  <chartFormats count="3">
    <chartFormat chart="0" format="2"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25">
    <pivotField showAll="0"/>
    <pivotField numFmtId="15" showAll="0"/>
    <pivotField showAll="0">
      <items count="2">
        <item x="0"/>
        <item t="default"/>
      </items>
    </pivotField>
    <pivotField showAll="0">
      <items count="6">
        <item x="0"/>
        <item x="1"/>
        <item x="2"/>
        <item x="3"/>
        <item x="4"/>
        <item t="default"/>
      </items>
    </pivotField>
    <pivotField showAll="0">
      <items count="5">
        <item x="2"/>
        <item x="0"/>
        <item x="1"/>
        <item x="3"/>
        <item t="default"/>
      </items>
    </pivotField>
    <pivotField showAll="0"/>
    <pivotField showAll="0">
      <items count="9">
        <item x="0"/>
        <item x="7"/>
        <item x="2"/>
        <item x="1"/>
        <item x="3"/>
        <item x="4"/>
        <item x="5"/>
        <item x="6"/>
        <item t="default"/>
      </items>
    </pivotField>
    <pivotField showAll="0">
      <items count="6">
        <item x="4"/>
        <item x="2"/>
        <item x="1"/>
        <item x="3"/>
        <item x="0"/>
        <item t="default"/>
      </items>
    </pivotField>
    <pivotField showAll="0"/>
    <pivotField showAll="0">
      <items count="4">
        <item x="2"/>
        <item x="0"/>
        <item x="1"/>
        <item t="default"/>
      </items>
    </pivotField>
    <pivotField showAll="0"/>
    <pivotField showAll="0"/>
    <pivotField showAll="0"/>
    <pivotField showAll="0"/>
    <pivotField showAll="0"/>
    <pivotField dataField="1" showAll="0"/>
    <pivotField showAll="0"/>
    <pivotField dataField="1" showAll="0">
      <items count="6">
        <item x="3"/>
        <item x="1"/>
        <item x="0"/>
        <item x="2"/>
        <item x="4"/>
        <item t="default"/>
      </items>
    </pivotField>
    <pivotField dataField="1" showAll="0"/>
    <pivotField dataField="1" showAll="0"/>
    <pivotField showAll="0"/>
    <pivotField numFmtId="9" showAll="0"/>
    <pivotField showAll="0"/>
    <pivotField showAll="0"/>
    <pivotField dataField="1" showAll="0"/>
  </pivotFields>
  <rowItems count="1">
    <i/>
  </rowItems>
  <colFields count="1">
    <field x="-2"/>
  </colFields>
  <colItems count="5">
    <i>
      <x/>
    </i>
    <i i="1">
      <x v="1"/>
    </i>
    <i i="2">
      <x v="2"/>
    </i>
    <i i="3">
      <x v="3"/>
    </i>
    <i i="4">
      <x v="4"/>
    </i>
  </colItems>
  <dataFields count="5">
    <dataField name="Sum of Revenue" fld="17" baseField="0" baseItem="0"/>
    <dataField name="Sum of Units Sold" fld="15" baseField="0" baseItem="0"/>
    <dataField name="Sum of Cost" fld="18" baseField="0" baseItem="0"/>
    <dataField name="Sum of Profit" fld="19" baseField="0" baseItem="0"/>
    <dataField name="Average of CSAT Score" fld="24"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0" name="PivotTable9"/>
    <pivotTable tabId="2" name="PivotTable1"/>
    <pivotTable tabId="2" name="PivotTable11"/>
    <pivotTable tabId="2" name="PivotTable12"/>
    <pivotTable tabId="2" name="PivotTable13"/>
    <pivotTable tabId="5" name="PivotTable24"/>
    <pivotTable tabId="5" name="PivotTable25"/>
    <pivotTable tabId="5" name="PivotTable26"/>
    <pivotTable tabId="5" name="PivotTable4"/>
    <pivotTable tabId="9" name="PivotTable20"/>
    <pivotTable tabId="9" name="PivotTable21"/>
    <pivotTable tabId="9" name="PivotTable22"/>
    <pivotTable tabId="9" name="PivotTable23"/>
    <pivotTable tabId="9" name="PivotTable8"/>
    <pivotTable tabId="12" name="PivotTable10"/>
    <pivotTable tabId="8" name="PivotTable14"/>
    <pivotTable tabId="8" name="PivotTable15"/>
    <pivotTable tabId="8" name="PivotTable16"/>
    <pivotTable tabId="8" name="PivotTable7"/>
    <pivotTable tabId="4" name="PivotTable1"/>
    <pivotTable tabId="4" name="PivotTable2"/>
    <pivotTable tabId="4" name="PivotTable3"/>
    <pivotTable tabId="10" name="PivotTable6"/>
    <pivotTable tabId="10" name="PivotTable7"/>
    <pivotTable tabId="3" name="PivotTable17"/>
    <pivotTable tabId="3" name="PivotTable18"/>
    <pivotTable tabId="3" name="PivotTable19"/>
    <pivotTable tabId="3" name="PivotTable2"/>
    <pivotTable tabId="7" name="PivotTable3"/>
    <pivotTable tabId="7" name="PivotTable4"/>
    <pivotTable tabId="7" name="PivotTable5"/>
    <pivotTable tabId="7" name="PivotTable6"/>
  </pivotTables>
  <data>
    <tabular pivotCacheId="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d" sourceName="Brand">
  <pivotTables>
    <pivotTable tabId="10" name="PivotTable9"/>
    <pivotTable tabId="2" name="PivotTable1"/>
    <pivotTable tabId="2" name="PivotTable11"/>
    <pivotTable tabId="2" name="PivotTable12"/>
    <pivotTable tabId="2" name="PivotTable13"/>
    <pivotTable tabId="5" name="PivotTable24"/>
    <pivotTable tabId="5" name="PivotTable25"/>
    <pivotTable tabId="5" name="PivotTable26"/>
    <pivotTable tabId="5" name="PivotTable4"/>
    <pivotTable tabId="9" name="PivotTable20"/>
    <pivotTable tabId="9" name="PivotTable21"/>
    <pivotTable tabId="9" name="PivotTable22"/>
    <pivotTable tabId="9" name="PivotTable23"/>
    <pivotTable tabId="9" name="PivotTable8"/>
    <pivotTable tabId="12" name="PivotTable10"/>
    <pivotTable tabId="8" name="PivotTable14"/>
    <pivotTable tabId="8" name="PivotTable15"/>
    <pivotTable tabId="8" name="PivotTable16"/>
    <pivotTable tabId="8" name="PivotTable7"/>
    <pivotTable tabId="4" name="PivotTable1"/>
    <pivotTable tabId="4" name="PivotTable2"/>
    <pivotTable tabId="4" name="PivotTable3"/>
    <pivotTable tabId="10" name="PivotTable6"/>
    <pivotTable tabId="10" name="PivotTable7"/>
    <pivotTable tabId="3" name="PivotTable17"/>
    <pivotTable tabId="3" name="PivotTable18"/>
    <pivotTable tabId="3" name="PivotTable19"/>
    <pivotTable tabId="3" name="PivotTable2"/>
    <pivotTable tabId="7" name="PivotTable3"/>
    <pivotTable tabId="7" name="PivotTable4"/>
    <pivotTable tabId="7" name="PivotTable5"/>
    <pivotTable tabId="7" name="PivotTable6"/>
  </pivotTables>
  <data>
    <tabular pivotCacheId="1">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0" name="PivotTable9"/>
    <pivotTable tabId="2" name="PivotTable1"/>
    <pivotTable tabId="2" name="PivotTable11"/>
    <pivotTable tabId="2" name="PivotTable12"/>
    <pivotTable tabId="2" name="PivotTable13"/>
    <pivotTable tabId="5" name="PivotTable24"/>
    <pivotTable tabId="5" name="PivotTable25"/>
    <pivotTable tabId="5" name="PivotTable26"/>
    <pivotTable tabId="5" name="PivotTable4"/>
    <pivotTable tabId="9" name="PivotTable20"/>
    <pivotTable tabId="9" name="PivotTable21"/>
    <pivotTable tabId="9" name="PivotTable22"/>
    <pivotTable tabId="9" name="PivotTable23"/>
    <pivotTable tabId="9" name="PivotTable8"/>
    <pivotTable tabId="12" name="PivotTable10"/>
    <pivotTable tabId="8" name="PivotTable14"/>
    <pivotTable tabId="8" name="PivotTable15"/>
    <pivotTable tabId="8" name="PivotTable16"/>
    <pivotTable tabId="8" name="PivotTable7"/>
    <pivotTable tabId="4" name="PivotTable1"/>
    <pivotTable tabId="4" name="PivotTable2"/>
    <pivotTable tabId="4" name="PivotTable3"/>
    <pivotTable tabId="10" name="PivotTable6"/>
    <pivotTable tabId="10" name="PivotTable7"/>
    <pivotTable tabId="3" name="PivotTable17"/>
    <pivotTable tabId="3" name="PivotTable18"/>
    <pivotTable tabId="3" name="PivotTable19"/>
    <pivotTable tabId="3" name="PivotTable2"/>
    <pivotTable tabId="7" name="PivotTable3"/>
    <pivotTable tabId="7" name="PivotTable4"/>
    <pivotTable tabId="7" name="PivotTable5"/>
    <pivotTable tabId="7" name="PivotTable6"/>
  </pivotTables>
  <data>
    <tabular pivotCacheId="1">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aler_Name" sourceName="Dealer Name">
  <pivotTables>
    <pivotTable tabId="10" name="PivotTable9"/>
    <pivotTable tabId="2" name="PivotTable1"/>
    <pivotTable tabId="2" name="PivotTable11"/>
    <pivotTable tabId="2" name="PivotTable12"/>
    <pivotTable tabId="2" name="PivotTable13"/>
    <pivotTable tabId="5" name="PivotTable24"/>
    <pivotTable tabId="5" name="PivotTable25"/>
    <pivotTable tabId="5" name="PivotTable26"/>
    <pivotTable tabId="5" name="PivotTable4"/>
    <pivotTable tabId="9" name="PivotTable20"/>
    <pivotTable tabId="9" name="PivotTable21"/>
    <pivotTable tabId="9" name="PivotTable22"/>
    <pivotTable tabId="9" name="PivotTable23"/>
    <pivotTable tabId="9" name="PivotTable8"/>
    <pivotTable tabId="12" name="PivotTable10"/>
    <pivotTable tabId="8" name="PivotTable14"/>
    <pivotTable tabId="8" name="PivotTable15"/>
    <pivotTable tabId="8" name="PivotTable16"/>
    <pivotTable tabId="8" name="PivotTable7"/>
    <pivotTable tabId="4" name="PivotTable1"/>
    <pivotTable tabId="4" name="PivotTable2"/>
    <pivotTable tabId="4" name="PivotTable3"/>
    <pivotTable tabId="10" name="PivotTable6"/>
    <pivotTable tabId="10" name="PivotTable7"/>
    <pivotTable tabId="3" name="PivotTable17"/>
    <pivotTable tabId="3" name="PivotTable18"/>
    <pivotTable tabId="3" name="PivotTable19"/>
    <pivotTable tabId="3" name="PivotTable2"/>
    <pivotTable tabId="7" name="PivotTable3"/>
    <pivotTable tabId="7" name="PivotTable4"/>
    <pivotTable tabId="7" name="PivotTable5"/>
    <pivotTable tabId="7" name="PivotTable6"/>
  </pivotTables>
  <data>
    <tabular pivotCacheId="1">
      <items count="8">
        <i x="0" s="1"/>
        <i x="7" s="1"/>
        <i x="2" s="1"/>
        <i x="1" s="1"/>
        <i x="3" s="1"/>
        <i x="4"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2" name="PivotTable11"/>
    <pivotTable tabId="2" name="PivotTable12"/>
    <pivotTable tabId="2" name="PivotTable13"/>
    <pivotTable tabId="5" name="PivotTable24"/>
    <pivotTable tabId="5" name="PivotTable25"/>
    <pivotTable tabId="5" name="PivotTable26"/>
    <pivotTable tabId="5" name="PivotTable4"/>
    <pivotTable tabId="9" name="PivotTable20"/>
    <pivotTable tabId="9" name="PivotTable21"/>
    <pivotTable tabId="9" name="PivotTable22"/>
    <pivotTable tabId="9" name="PivotTable23"/>
    <pivotTable tabId="9" name="PivotTable8"/>
    <pivotTable tabId="12" name="PivotTable10"/>
    <pivotTable tabId="8" name="PivotTable14"/>
    <pivotTable tabId="8" name="PivotTable15"/>
    <pivotTable tabId="8" name="PivotTable16"/>
    <pivotTable tabId="8" name="PivotTable7"/>
    <pivotTable tabId="4" name="PivotTable1"/>
    <pivotTable tabId="4" name="PivotTable2"/>
    <pivotTable tabId="4" name="PivotTable3"/>
    <pivotTable tabId="10" name="PivotTable6"/>
    <pivotTable tabId="10" name="PivotTable7"/>
    <pivotTable tabId="10" name="PivotTable9"/>
    <pivotTable tabId="3" name="PivotTable17"/>
    <pivotTable tabId="3" name="PivotTable18"/>
    <pivotTable tabId="3" name="PivotTable19"/>
    <pivotTable tabId="3" name="PivotTable2"/>
    <pivotTable tabId="7" name="PivotTable3"/>
    <pivotTable tabId="7" name="PivotTable4"/>
    <pivotTable tabId="7" name="PivotTable5"/>
    <pivotTable tabId="7" name="PivotTable6"/>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columnCount="2" style="SlicerStyleDark2" rowHeight="252000"/>
  <slicer name="Brand" cache="Slicer_Brand" caption="Brand" columnCount="2" style="SlicerStyleDark2" rowHeight="234950"/>
  <slicer name="Category" cache="Slicer_Category" caption="Category" style="SlicerStyleDark2" rowHeight="234950"/>
  <slicer name="Dealer Name" cache="Slicer_Dealer_Name" caption="Dealer Name" columnCount="8" style="SlicerStyleDark2" rowHeight="234950"/>
  <slicer name="Region" cache="Slicer_Region" caption="Region" columnCount="2" style="SlicerStyleDark2" rowHeight="252000"/>
</slicers>
</file>

<file path=xl/tables/table1.xml><?xml version="1.0" encoding="utf-8"?>
<table xmlns="http://schemas.openxmlformats.org/spreadsheetml/2006/main" id="2" name="Table2" displayName="Table2" ref="A1:Y21" totalsRowShown="0">
  <tableColumns count="25">
    <tableColumn id="1" name="Sale ID"/>
    <tableColumn id="2" name="Sale Date" dataDxfId="2"/>
    <tableColumn id="3" name="Year"/>
    <tableColumn id="4" name="Month"/>
    <tableColumn id="5" name="Region"/>
    <tableColumn id="6" name="Dealer ID"/>
    <tableColumn id="7" name="Dealer Name"/>
    <tableColumn id="8" name="Brand"/>
    <tableColumn id="9" name="Model"/>
    <tableColumn id="10" name="Category"/>
    <tableColumn id="11" name="Customer ID"/>
    <tableColumn id="12" name="Customer Age"/>
    <tableColumn id="13" name="Gender"/>
    <tableColumn id="14" name="Income"/>
    <tableColumn id="15" name="Occupation"/>
    <tableColumn id="16" name="Units Sold" dataDxfId="1"/>
    <tableColumn id="17" name="Selling Price"/>
    <tableColumn id="18" name="Revenue"/>
    <tableColumn id="19" name="Cost"/>
    <tableColumn id="20" name="Profit">
      <calculatedColumnFormula>R2-S2</calculatedColumnFormula>
    </tableColumn>
    <tableColumn id="21" name="Target Units"/>
    <tableColumn id="22" name="Target Achievement %" dataDxfId="0" dataCellStyle="Percent"/>
    <tableColumn id="23" name="Service Type"/>
    <tableColumn id="24" name="Service Cost"/>
    <tableColumn id="25" name="CSAT Score"/>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4" Type="http://schemas.openxmlformats.org/officeDocument/2006/relationships/pivotTable" Target="../pivotTables/pivotTable2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1.xml"/><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3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2"/>
  <sheetViews>
    <sheetView workbookViewId="0">
      <selection activeCell="B5" sqref="A3:D9"/>
    </sheetView>
  </sheetViews>
  <sheetFormatPr defaultRowHeight="14.4" x14ac:dyDescent="0.3"/>
  <cols>
    <col min="1" max="1" width="12.5546875" bestFit="1" customWidth="1"/>
    <col min="2" max="2" width="12.109375" customWidth="1"/>
    <col min="3" max="3" width="14.88671875" customWidth="1"/>
    <col min="4" max="4" width="12.109375" bestFit="1" customWidth="1"/>
    <col min="6" max="6" width="12.5546875" bestFit="1" customWidth="1"/>
    <col min="7" max="7" width="14.88671875" bestFit="1" customWidth="1"/>
    <col min="8" max="8" width="12.109375" bestFit="1" customWidth="1"/>
  </cols>
  <sheetData>
    <row r="3" spans="1:7" x14ac:dyDescent="0.3">
      <c r="A3" s="3" t="s">
        <v>117</v>
      </c>
      <c r="B3" t="s">
        <v>119</v>
      </c>
      <c r="C3" t="s">
        <v>120</v>
      </c>
      <c r="D3" t="s">
        <v>121</v>
      </c>
      <c r="F3" s="3" t="s">
        <v>117</v>
      </c>
      <c r="G3" t="s">
        <v>120</v>
      </c>
    </row>
    <row r="4" spans="1:7" x14ac:dyDescent="0.3">
      <c r="A4" s="4" t="s">
        <v>102</v>
      </c>
      <c r="B4" s="5">
        <v>4</v>
      </c>
      <c r="C4" s="5">
        <v>240000</v>
      </c>
      <c r="D4" s="5">
        <v>48000</v>
      </c>
      <c r="F4" s="4" t="s">
        <v>102</v>
      </c>
      <c r="G4" s="5">
        <v>240000</v>
      </c>
    </row>
    <row r="5" spans="1:7" x14ac:dyDescent="0.3">
      <c r="A5" s="4" t="s">
        <v>92</v>
      </c>
      <c r="B5" s="5">
        <v>4</v>
      </c>
      <c r="C5" s="5">
        <v>160000</v>
      </c>
      <c r="D5" s="5">
        <v>28000</v>
      </c>
      <c r="F5" s="4" t="s">
        <v>92</v>
      </c>
      <c r="G5" s="5">
        <v>160000</v>
      </c>
    </row>
    <row r="6" spans="1:7" x14ac:dyDescent="0.3">
      <c r="A6" s="4" t="s">
        <v>85</v>
      </c>
      <c r="B6" s="5">
        <v>4</v>
      </c>
      <c r="C6" s="5">
        <v>112000</v>
      </c>
      <c r="D6" s="5">
        <v>24000</v>
      </c>
      <c r="F6" s="4" t="s">
        <v>85</v>
      </c>
      <c r="G6" s="5">
        <v>112000</v>
      </c>
    </row>
    <row r="7" spans="1:7" x14ac:dyDescent="0.3">
      <c r="A7" s="4" t="s">
        <v>99</v>
      </c>
      <c r="B7" s="5">
        <v>4</v>
      </c>
      <c r="C7" s="5">
        <v>100000</v>
      </c>
      <c r="D7" s="5">
        <v>20000</v>
      </c>
      <c r="F7" s="4" t="s">
        <v>99</v>
      </c>
      <c r="G7" s="5">
        <v>100000</v>
      </c>
    </row>
    <row r="8" spans="1:7" x14ac:dyDescent="0.3">
      <c r="A8" s="4" t="s">
        <v>56</v>
      </c>
      <c r="B8" s="5">
        <v>4</v>
      </c>
      <c r="C8" s="5">
        <v>120000</v>
      </c>
      <c r="D8" s="5">
        <v>24000</v>
      </c>
      <c r="F8" s="4" t="s">
        <v>56</v>
      </c>
      <c r="G8" s="5">
        <v>120000</v>
      </c>
    </row>
    <row r="9" spans="1:7" x14ac:dyDescent="0.3">
      <c r="A9" s="4" t="s">
        <v>118</v>
      </c>
      <c r="B9" s="5">
        <v>20</v>
      </c>
      <c r="C9" s="5">
        <v>732000</v>
      </c>
      <c r="D9" s="5">
        <v>144000</v>
      </c>
      <c r="F9" s="4" t="s">
        <v>118</v>
      </c>
      <c r="G9" s="5">
        <v>732000</v>
      </c>
    </row>
    <row r="13" spans="1:7" x14ac:dyDescent="0.3">
      <c r="A13" s="3" t="s">
        <v>117</v>
      </c>
      <c r="B13" t="s">
        <v>119</v>
      </c>
    </row>
    <row r="14" spans="1:7" x14ac:dyDescent="0.3">
      <c r="A14" s="4" t="s">
        <v>102</v>
      </c>
      <c r="B14" s="5">
        <v>4</v>
      </c>
    </row>
    <row r="15" spans="1:7" x14ac:dyDescent="0.3">
      <c r="A15" s="4" t="s">
        <v>92</v>
      </c>
      <c r="B15" s="5">
        <v>4</v>
      </c>
    </row>
    <row r="16" spans="1:7" x14ac:dyDescent="0.3">
      <c r="A16" s="4" t="s">
        <v>85</v>
      </c>
      <c r="B16" s="5">
        <v>4</v>
      </c>
    </row>
    <row r="17" spans="1:2" x14ac:dyDescent="0.3">
      <c r="A17" s="4" t="s">
        <v>99</v>
      </c>
      <c r="B17" s="5">
        <v>4</v>
      </c>
    </row>
    <row r="18" spans="1:2" x14ac:dyDescent="0.3">
      <c r="A18" s="4" t="s">
        <v>56</v>
      </c>
      <c r="B18" s="5">
        <v>4</v>
      </c>
    </row>
    <row r="19" spans="1:2" x14ac:dyDescent="0.3">
      <c r="A19" s="4" t="s">
        <v>118</v>
      </c>
      <c r="B19" s="5">
        <v>20</v>
      </c>
    </row>
    <row r="26" spans="1:2" x14ac:dyDescent="0.3">
      <c r="A26" s="3" t="s">
        <v>117</v>
      </c>
      <c r="B26" t="s">
        <v>121</v>
      </c>
    </row>
    <row r="27" spans="1:2" x14ac:dyDescent="0.3">
      <c r="A27" s="4" t="s">
        <v>102</v>
      </c>
      <c r="B27" s="5">
        <v>48000</v>
      </c>
    </row>
    <row r="28" spans="1:2" x14ac:dyDescent="0.3">
      <c r="A28" s="4" t="s">
        <v>92</v>
      </c>
      <c r="B28" s="5">
        <v>28000</v>
      </c>
    </row>
    <row r="29" spans="1:2" x14ac:dyDescent="0.3">
      <c r="A29" s="4" t="s">
        <v>85</v>
      </c>
      <c r="B29" s="5">
        <v>24000</v>
      </c>
    </row>
    <row r="30" spans="1:2" x14ac:dyDescent="0.3">
      <c r="A30" s="4" t="s">
        <v>99</v>
      </c>
      <c r="B30" s="5">
        <v>20000</v>
      </c>
    </row>
    <row r="31" spans="1:2" x14ac:dyDescent="0.3">
      <c r="A31" s="4" t="s">
        <v>56</v>
      </c>
      <c r="B31" s="5">
        <v>24000</v>
      </c>
    </row>
    <row r="32" spans="1:2" x14ac:dyDescent="0.3">
      <c r="A32" s="4" t="s">
        <v>118</v>
      </c>
      <c r="B32" s="5">
        <v>144000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2"/>
  <sheetViews>
    <sheetView workbookViewId="0">
      <selection activeCell="B6" sqref="A3:D9"/>
    </sheetView>
  </sheetViews>
  <sheetFormatPr defaultRowHeight="14.4" x14ac:dyDescent="0.3"/>
  <cols>
    <col min="1" max="1" width="12.5546875" bestFit="1" customWidth="1"/>
    <col min="2" max="2" width="16" customWidth="1"/>
    <col min="3" max="3" width="14.88671875" customWidth="1"/>
    <col min="4" max="4" width="12.109375" bestFit="1" customWidth="1"/>
    <col min="6" max="6" width="12.5546875" bestFit="1" customWidth="1"/>
    <col min="7" max="7" width="12.5546875" customWidth="1"/>
    <col min="8" max="8" width="12.109375" bestFit="1" customWidth="1"/>
  </cols>
  <sheetData>
    <row r="3" spans="1:8" x14ac:dyDescent="0.3">
      <c r="A3" s="3" t="s">
        <v>117</v>
      </c>
      <c r="B3" t="s">
        <v>119</v>
      </c>
      <c r="C3" t="s">
        <v>120</v>
      </c>
      <c r="D3" t="s">
        <v>121</v>
      </c>
      <c r="F3" s="3" t="s">
        <v>117</v>
      </c>
      <c r="G3" t="s">
        <v>120</v>
      </c>
    </row>
    <row r="4" spans="1:8" x14ac:dyDescent="0.3">
      <c r="A4" s="4" t="s">
        <v>86</v>
      </c>
      <c r="B4" s="5">
        <v>4</v>
      </c>
      <c r="C4" s="5">
        <v>112000</v>
      </c>
      <c r="D4" s="5">
        <v>24000</v>
      </c>
      <c r="F4" s="4" t="s">
        <v>86</v>
      </c>
      <c r="G4" s="5">
        <v>112000</v>
      </c>
    </row>
    <row r="5" spans="1:8" x14ac:dyDescent="0.3">
      <c r="A5" s="4" t="s">
        <v>93</v>
      </c>
      <c r="B5" s="5">
        <v>4</v>
      </c>
      <c r="C5" s="5">
        <v>160000</v>
      </c>
      <c r="D5" s="5">
        <v>28000</v>
      </c>
      <c r="F5" s="4" t="s">
        <v>93</v>
      </c>
      <c r="G5" s="5">
        <v>160000</v>
      </c>
    </row>
    <row r="6" spans="1:8" x14ac:dyDescent="0.3">
      <c r="A6" s="4" t="s">
        <v>57</v>
      </c>
      <c r="B6" s="5">
        <v>4</v>
      </c>
      <c r="C6" s="5">
        <v>120000</v>
      </c>
      <c r="D6" s="5">
        <v>24000</v>
      </c>
      <c r="F6" s="4" t="s">
        <v>57</v>
      </c>
      <c r="G6" s="5">
        <v>120000</v>
      </c>
    </row>
    <row r="7" spans="1:8" x14ac:dyDescent="0.3">
      <c r="A7" s="4" t="s">
        <v>100</v>
      </c>
      <c r="B7" s="5">
        <v>4</v>
      </c>
      <c r="C7" s="5">
        <v>100000</v>
      </c>
      <c r="D7" s="5">
        <v>20000</v>
      </c>
      <c r="F7" s="4" t="s">
        <v>100</v>
      </c>
      <c r="G7" s="5">
        <v>100000</v>
      </c>
    </row>
    <row r="8" spans="1:8" x14ac:dyDescent="0.3">
      <c r="A8" s="4" t="s">
        <v>103</v>
      </c>
      <c r="B8" s="5">
        <v>4</v>
      </c>
      <c r="C8" s="5">
        <v>240000</v>
      </c>
      <c r="D8" s="5">
        <v>48000</v>
      </c>
      <c r="F8" s="4" t="s">
        <v>103</v>
      </c>
      <c r="G8" s="5">
        <v>240000</v>
      </c>
    </row>
    <row r="9" spans="1:8" x14ac:dyDescent="0.3">
      <c r="A9" s="4" t="s">
        <v>118</v>
      </c>
      <c r="B9" s="5">
        <v>20</v>
      </c>
      <c r="C9" s="5">
        <v>732000</v>
      </c>
      <c r="D9" s="5">
        <v>144000</v>
      </c>
      <c r="F9" s="4" t="s">
        <v>118</v>
      </c>
      <c r="G9" s="5">
        <v>732000</v>
      </c>
    </row>
    <row r="14" spans="1:8" x14ac:dyDescent="0.3">
      <c r="A14" s="3" t="s">
        <v>117</v>
      </c>
      <c r="B14" t="s">
        <v>119</v>
      </c>
    </row>
    <row r="15" spans="1:8" x14ac:dyDescent="0.3">
      <c r="A15" s="4" t="s">
        <v>86</v>
      </c>
      <c r="B15" s="5">
        <v>4</v>
      </c>
    </row>
    <row r="16" spans="1:8" x14ac:dyDescent="0.3">
      <c r="A16" s="4" t="s">
        <v>93</v>
      </c>
      <c r="B16" s="5">
        <v>4</v>
      </c>
      <c r="G16" s="3" t="s">
        <v>117</v>
      </c>
      <c r="H16" t="s">
        <v>121</v>
      </c>
    </row>
    <row r="17" spans="1:8" x14ac:dyDescent="0.3">
      <c r="A17" s="4" t="s">
        <v>57</v>
      </c>
      <c r="B17" s="5">
        <v>4</v>
      </c>
      <c r="G17" s="4" t="s">
        <v>86</v>
      </c>
      <c r="H17" s="5">
        <v>24000</v>
      </c>
    </row>
    <row r="18" spans="1:8" x14ac:dyDescent="0.3">
      <c r="A18" s="4" t="s">
        <v>100</v>
      </c>
      <c r="B18" s="5">
        <v>4</v>
      </c>
      <c r="G18" s="4" t="s">
        <v>93</v>
      </c>
      <c r="H18" s="5">
        <v>28000</v>
      </c>
    </row>
    <row r="19" spans="1:8" x14ac:dyDescent="0.3">
      <c r="A19" s="4" t="s">
        <v>103</v>
      </c>
      <c r="B19" s="5">
        <v>4</v>
      </c>
      <c r="G19" s="4" t="s">
        <v>57</v>
      </c>
      <c r="H19" s="5">
        <v>24000</v>
      </c>
    </row>
    <row r="20" spans="1:8" x14ac:dyDescent="0.3">
      <c r="A20" s="4" t="s">
        <v>118</v>
      </c>
      <c r="B20" s="5">
        <v>20</v>
      </c>
      <c r="G20" s="4" t="s">
        <v>100</v>
      </c>
      <c r="H20" s="5">
        <v>20000</v>
      </c>
    </row>
    <row r="21" spans="1:8" x14ac:dyDescent="0.3">
      <c r="G21" s="4" t="s">
        <v>103</v>
      </c>
      <c r="H21" s="5">
        <v>48000</v>
      </c>
    </row>
    <row r="22" spans="1:8" x14ac:dyDescent="0.3">
      <c r="G22" s="4" t="s">
        <v>118</v>
      </c>
      <c r="H22" s="5">
        <v>144000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3"/>
  <sheetViews>
    <sheetView workbookViewId="0">
      <selection activeCell="B6" sqref="A3:D9"/>
    </sheetView>
  </sheetViews>
  <sheetFormatPr defaultRowHeight="14.4" x14ac:dyDescent="0.3"/>
  <cols>
    <col min="1" max="1" width="12.5546875" bestFit="1" customWidth="1"/>
    <col min="2" max="2" width="14.88671875" customWidth="1"/>
    <col min="3" max="3" width="16" bestFit="1" customWidth="1"/>
    <col min="4" max="4" width="12.109375" bestFit="1" customWidth="1"/>
    <col min="7" max="7" width="12.5546875" bestFit="1" customWidth="1"/>
    <col min="8" max="8" width="12.5546875" customWidth="1"/>
    <col min="9" max="9" width="12.109375" customWidth="1"/>
    <col min="10" max="10" width="12.109375" bestFit="1" customWidth="1"/>
  </cols>
  <sheetData>
    <row r="3" spans="1:8" x14ac:dyDescent="0.3">
      <c r="A3" s="3" t="s">
        <v>117</v>
      </c>
      <c r="B3" t="s">
        <v>120</v>
      </c>
      <c r="C3" t="s">
        <v>119</v>
      </c>
      <c r="D3" t="s">
        <v>121</v>
      </c>
      <c r="G3" s="3" t="s">
        <v>117</v>
      </c>
      <c r="H3" t="s">
        <v>120</v>
      </c>
    </row>
    <row r="4" spans="1:8" x14ac:dyDescent="0.3">
      <c r="A4" s="4" t="s">
        <v>45</v>
      </c>
      <c r="B4" s="5">
        <v>123000</v>
      </c>
      <c r="C4" s="5">
        <v>4</v>
      </c>
      <c r="D4" s="5">
        <v>24000</v>
      </c>
      <c r="G4" s="4" t="s">
        <v>45</v>
      </c>
      <c r="H4" s="5">
        <v>123000</v>
      </c>
    </row>
    <row r="5" spans="1:8" x14ac:dyDescent="0.3">
      <c r="A5" s="4" t="s">
        <v>83</v>
      </c>
      <c r="B5" s="5">
        <v>158000</v>
      </c>
      <c r="C5" s="5">
        <v>4</v>
      </c>
      <c r="D5" s="5">
        <v>31000</v>
      </c>
      <c r="G5" s="4" t="s">
        <v>83</v>
      </c>
      <c r="H5" s="5">
        <v>158000</v>
      </c>
    </row>
    <row r="6" spans="1:8" x14ac:dyDescent="0.3">
      <c r="A6" s="4" t="s">
        <v>109</v>
      </c>
      <c r="B6" s="5">
        <v>143000</v>
      </c>
      <c r="C6" s="5">
        <v>4</v>
      </c>
      <c r="D6" s="5">
        <v>29000</v>
      </c>
      <c r="G6" s="4" t="s">
        <v>109</v>
      </c>
      <c r="H6" s="5">
        <v>143000</v>
      </c>
    </row>
    <row r="7" spans="1:8" x14ac:dyDescent="0.3">
      <c r="A7" s="4" t="s">
        <v>110</v>
      </c>
      <c r="B7" s="5">
        <v>155000</v>
      </c>
      <c r="C7" s="5">
        <v>4</v>
      </c>
      <c r="D7" s="5">
        <v>30000</v>
      </c>
      <c r="G7" s="4" t="s">
        <v>110</v>
      </c>
      <c r="H7" s="5">
        <v>155000</v>
      </c>
    </row>
    <row r="8" spans="1:8" x14ac:dyDescent="0.3">
      <c r="A8" s="4" t="s">
        <v>116</v>
      </c>
      <c r="B8" s="5">
        <v>153000</v>
      </c>
      <c r="C8" s="5">
        <v>4</v>
      </c>
      <c r="D8" s="5">
        <v>30000</v>
      </c>
      <c r="G8" s="4" t="s">
        <v>116</v>
      </c>
      <c r="H8" s="5">
        <v>153000</v>
      </c>
    </row>
    <row r="9" spans="1:8" x14ac:dyDescent="0.3">
      <c r="A9" s="4" t="s">
        <v>118</v>
      </c>
      <c r="B9" s="5">
        <v>732000</v>
      </c>
      <c r="C9" s="5">
        <v>20</v>
      </c>
      <c r="D9" s="5">
        <v>144000</v>
      </c>
      <c r="G9" s="4" t="s">
        <v>118</v>
      </c>
      <c r="H9" s="5">
        <v>732000</v>
      </c>
    </row>
    <row r="14" spans="1:8" x14ac:dyDescent="0.3">
      <c r="A14" s="3" t="s">
        <v>117</v>
      </c>
      <c r="B14" t="s">
        <v>119</v>
      </c>
    </row>
    <row r="15" spans="1:8" x14ac:dyDescent="0.3">
      <c r="A15" s="4" t="s">
        <v>45</v>
      </c>
      <c r="B15" s="5">
        <v>4</v>
      </c>
    </row>
    <row r="16" spans="1:8" x14ac:dyDescent="0.3">
      <c r="A16" s="4" t="s">
        <v>83</v>
      </c>
      <c r="B16" s="5">
        <v>4</v>
      </c>
    </row>
    <row r="17" spans="1:9" x14ac:dyDescent="0.3">
      <c r="A17" s="4" t="s">
        <v>109</v>
      </c>
      <c r="B17" s="5">
        <v>4</v>
      </c>
      <c r="H17" s="3" t="s">
        <v>117</v>
      </c>
      <c r="I17" t="s">
        <v>121</v>
      </c>
    </row>
    <row r="18" spans="1:9" x14ac:dyDescent="0.3">
      <c r="A18" s="4" t="s">
        <v>110</v>
      </c>
      <c r="B18" s="5">
        <v>4</v>
      </c>
      <c r="H18" s="4" t="s">
        <v>45</v>
      </c>
      <c r="I18" s="5">
        <v>24000</v>
      </c>
    </row>
    <row r="19" spans="1:9" x14ac:dyDescent="0.3">
      <c r="A19" s="4" t="s">
        <v>116</v>
      </c>
      <c r="B19" s="5">
        <v>4</v>
      </c>
      <c r="H19" s="4" t="s">
        <v>83</v>
      </c>
      <c r="I19" s="5">
        <v>31000</v>
      </c>
    </row>
    <row r="20" spans="1:9" x14ac:dyDescent="0.3">
      <c r="A20" s="4" t="s">
        <v>118</v>
      </c>
      <c r="B20" s="5">
        <v>20</v>
      </c>
      <c r="H20" s="4" t="s">
        <v>109</v>
      </c>
      <c r="I20" s="5">
        <v>29000</v>
      </c>
    </row>
    <row r="21" spans="1:9" x14ac:dyDescent="0.3">
      <c r="H21" s="4" t="s">
        <v>110</v>
      </c>
      <c r="I21" s="5">
        <v>30000</v>
      </c>
    </row>
    <row r="22" spans="1:9" x14ac:dyDescent="0.3">
      <c r="H22" s="4" t="s">
        <v>116</v>
      </c>
      <c r="I22" s="5">
        <v>30000</v>
      </c>
    </row>
    <row r="23" spans="1:9" x14ac:dyDescent="0.3">
      <c r="H23" s="4" t="s">
        <v>118</v>
      </c>
      <c r="I23" s="5">
        <v>144000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7"/>
  <sheetViews>
    <sheetView workbookViewId="0">
      <selection activeCell="F16" sqref="F16"/>
    </sheetView>
  </sheetViews>
  <sheetFormatPr defaultRowHeight="14.4" x14ac:dyDescent="0.3"/>
  <cols>
    <col min="1" max="1" width="12.88671875" customWidth="1"/>
    <col min="2" max="2" width="17.77734375" customWidth="1"/>
    <col min="3" max="3" width="16" customWidth="1"/>
    <col min="4" max="4" width="14.88671875" bestFit="1" customWidth="1"/>
    <col min="5" max="5" width="12.109375" bestFit="1" customWidth="1"/>
    <col min="7" max="8" width="12.88671875" customWidth="1"/>
    <col min="9" max="10" width="17" bestFit="1" customWidth="1"/>
  </cols>
  <sheetData>
    <row r="3" spans="1:9" x14ac:dyDescent="0.3">
      <c r="A3" s="3" t="s">
        <v>117</v>
      </c>
      <c r="B3" t="s">
        <v>125</v>
      </c>
      <c r="C3" t="s">
        <v>119</v>
      </c>
      <c r="D3" t="s">
        <v>120</v>
      </c>
      <c r="E3" t="s">
        <v>121</v>
      </c>
      <c r="G3" s="3" t="s">
        <v>117</v>
      </c>
      <c r="H3" t="s">
        <v>120</v>
      </c>
    </row>
    <row r="4" spans="1:9" x14ac:dyDescent="0.3">
      <c r="A4" s="4" t="s">
        <v>55</v>
      </c>
      <c r="B4" s="5">
        <v>3000</v>
      </c>
      <c r="C4" s="5">
        <v>3</v>
      </c>
      <c r="D4" s="5">
        <v>118000</v>
      </c>
      <c r="E4" s="5">
        <v>24000</v>
      </c>
      <c r="G4" s="4" t="s">
        <v>55</v>
      </c>
      <c r="H4" s="5">
        <v>118000</v>
      </c>
    </row>
    <row r="5" spans="1:9" x14ac:dyDescent="0.3">
      <c r="A5" s="4" t="s">
        <v>115</v>
      </c>
      <c r="B5" s="5">
        <v>1750</v>
      </c>
      <c r="C5" s="5">
        <v>2</v>
      </c>
      <c r="D5" s="5">
        <v>58000</v>
      </c>
      <c r="E5" s="5">
        <v>12000</v>
      </c>
      <c r="G5" s="4" t="s">
        <v>115</v>
      </c>
      <c r="H5" s="5">
        <v>58000</v>
      </c>
    </row>
    <row r="6" spans="1:9" x14ac:dyDescent="0.3">
      <c r="A6" s="4" t="s">
        <v>91</v>
      </c>
      <c r="B6" s="5">
        <v>7600</v>
      </c>
      <c r="C6" s="5">
        <v>3</v>
      </c>
      <c r="D6" s="5">
        <v>93000</v>
      </c>
      <c r="E6" s="5">
        <v>18000</v>
      </c>
      <c r="G6" s="4" t="s">
        <v>91</v>
      </c>
      <c r="H6" s="5">
        <v>93000</v>
      </c>
    </row>
    <row r="7" spans="1:9" x14ac:dyDescent="0.3">
      <c r="A7" s="4" t="s">
        <v>84</v>
      </c>
      <c r="B7" s="5">
        <v>2700</v>
      </c>
      <c r="C7" s="5">
        <v>3</v>
      </c>
      <c r="D7" s="5">
        <v>98000</v>
      </c>
      <c r="E7" s="5">
        <v>19000</v>
      </c>
      <c r="G7" s="4" t="s">
        <v>84</v>
      </c>
      <c r="H7" s="5">
        <v>98000</v>
      </c>
    </row>
    <row r="8" spans="1:9" x14ac:dyDescent="0.3">
      <c r="A8" s="4" t="s">
        <v>98</v>
      </c>
      <c r="B8" s="5">
        <v>3100</v>
      </c>
      <c r="C8" s="5">
        <v>3</v>
      </c>
      <c r="D8" s="5">
        <v>125000</v>
      </c>
      <c r="E8" s="5">
        <v>24000</v>
      </c>
      <c r="G8" s="4" t="s">
        <v>98</v>
      </c>
      <c r="H8" s="5">
        <v>125000</v>
      </c>
    </row>
    <row r="9" spans="1:9" x14ac:dyDescent="0.3">
      <c r="A9" s="4" t="s">
        <v>111</v>
      </c>
      <c r="B9" s="5">
        <v>1450</v>
      </c>
      <c r="C9" s="5">
        <v>2</v>
      </c>
      <c r="D9" s="5">
        <v>65000</v>
      </c>
      <c r="E9" s="5">
        <v>12000</v>
      </c>
      <c r="G9" s="4" t="s">
        <v>111</v>
      </c>
      <c r="H9" s="5">
        <v>65000</v>
      </c>
    </row>
    <row r="10" spans="1:9" x14ac:dyDescent="0.3">
      <c r="A10" s="4" t="s">
        <v>113</v>
      </c>
      <c r="B10" s="5">
        <v>2100</v>
      </c>
      <c r="C10" s="5">
        <v>2</v>
      </c>
      <c r="D10" s="5">
        <v>85000</v>
      </c>
      <c r="E10" s="5">
        <v>17000</v>
      </c>
      <c r="G10" s="4" t="s">
        <v>113</v>
      </c>
      <c r="H10" s="5">
        <v>85000</v>
      </c>
    </row>
    <row r="11" spans="1:9" x14ac:dyDescent="0.3">
      <c r="A11" s="4" t="s">
        <v>114</v>
      </c>
      <c r="B11" s="5">
        <v>1650</v>
      </c>
      <c r="C11" s="5">
        <v>2</v>
      </c>
      <c r="D11" s="5">
        <v>90000</v>
      </c>
      <c r="E11" s="5">
        <v>18000</v>
      </c>
      <c r="G11" s="4" t="s">
        <v>114</v>
      </c>
      <c r="H11" s="5">
        <v>90000</v>
      </c>
    </row>
    <row r="12" spans="1:9" x14ac:dyDescent="0.3">
      <c r="A12" s="4" t="s">
        <v>118</v>
      </c>
      <c r="B12" s="5">
        <v>23350</v>
      </c>
      <c r="C12" s="5">
        <v>20</v>
      </c>
      <c r="D12" s="5">
        <v>732000</v>
      </c>
      <c r="E12" s="5">
        <v>144000</v>
      </c>
      <c r="G12" s="4" t="s">
        <v>118</v>
      </c>
      <c r="H12" s="5">
        <v>732000</v>
      </c>
    </row>
    <row r="15" spans="1:9" x14ac:dyDescent="0.3">
      <c r="A15" s="3" t="s">
        <v>117</v>
      </c>
      <c r="B15" t="s">
        <v>125</v>
      </c>
      <c r="H15" s="3" t="s">
        <v>117</v>
      </c>
      <c r="I15" t="s">
        <v>124</v>
      </c>
    </row>
    <row r="16" spans="1:9" x14ac:dyDescent="0.3">
      <c r="A16" s="4" t="s">
        <v>55</v>
      </c>
      <c r="B16" s="5">
        <v>3000</v>
      </c>
      <c r="H16" s="4" t="s">
        <v>55</v>
      </c>
      <c r="I16" s="5">
        <v>14.299999999999999</v>
      </c>
    </row>
    <row r="17" spans="1:9" x14ac:dyDescent="0.3">
      <c r="A17" s="4" t="s">
        <v>115</v>
      </c>
      <c r="B17" s="5">
        <v>1750</v>
      </c>
      <c r="H17" s="4" t="s">
        <v>115</v>
      </c>
      <c r="I17" s="5">
        <v>9.1</v>
      </c>
    </row>
    <row r="18" spans="1:9" x14ac:dyDescent="0.3">
      <c r="A18" s="4" t="s">
        <v>91</v>
      </c>
      <c r="B18" s="5">
        <v>7600</v>
      </c>
      <c r="H18" s="4" t="s">
        <v>91</v>
      </c>
      <c r="I18" s="5">
        <v>13.8</v>
      </c>
    </row>
    <row r="19" spans="1:9" x14ac:dyDescent="0.3">
      <c r="A19" s="4" t="s">
        <v>84</v>
      </c>
      <c r="B19" s="5">
        <v>2700</v>
      </c>
      <c r="H19" s="4" t="s">
        <v>84</v>
      </c>
      <c r="I19" s="5">
        <v>13.5</v>
      </c>
    </row>
    <row r="20" spans="1:9" x14ac:dyDescent="0.3">
      <c r="A20" s="4" t="s">
        <v>98</v>
      </c>
      <c r="B20" s="5">
        <v>3100</v>
      </c>
      <c r="H20" s="4" t="s">
        <v>98</v>
      </c>
      <c r="I20" s="5">
        <v>13.9</v>
      </c>
    </row>
    <row r="21" spans="1:9" x14ac:dyDescent="0.3">
      <c r="A21" s="4" t="s">
        <v>111</v>
      </c>
      <c r="B21" s="5">
        <v>1450</v>
      </c>
      <c r="H21" s="4" t="s">
        <v>111</v>
      </c>
      <c r="I21" s="5">
        <v>8.9</v>
      </c>
    </row>
    <row r="22" spans="1:9" x14ac:dyDescent="0.3">
      <c r="A22" s="4" t="s">
        <v>113</v>
      </c>
      <c r="B22" s="5">
        <v>2100</v>
      </c>
      <c r="H22" s="4" t="s">
        <v>113</v>
      </c>
      <c r="I22" s="5">
        <v>9.5</v>
      </c>
    </row>
    <row r="23" spans="1:9" x14ac:dyDescent="0.3">
      <c r="A23" s="4" t="s">
        <v>114</v>
      </c>
      <c r="B23" s="5">
        <v>1650</v>
      </c>
      <c r="H23" s="4" t="s">
        <v>114</v>
      </c>
      <c r="I23" s="5">
        <v>9.4</v>
      </c>
    </row>
    <row r="24" spans="1:9" x14ac:dyDescent="0.3">
      <c r="A24" s="4" t="s">
        <v>118</v>
      </c>
      <c r="B24" s="5">
        <v>23350</v>
      </c>
      <c r="H24" s="4" t="s">
        <v>118</v>
      </c>
      <c r="I24" s="5">
        <v>92.40000000000002</v>
      </c>
    </row>
    <row r="28" spans="1:9" x14ac:dyDescent="0.3">
      <c r="A28" s="3" t="s">
        <v>117</v>
      </c>
      <c r="B28" t="s">
        <v>133</v>
      </c>
    </row>
    <row r="29" spans="1:9" x14ac:dyDescent="0.3">
      <c r="A29" s="4" t="s">
        <v>55</v>
      </c>
      <c r="B29" s="5">
        <v>3</v>
      </c>
    </row>
    <row r="30" spans="1:9" x14ac:dyDescent="0.3">
      <c r="A30" s="4" t="s">
        <v>115</v>
      </c>
      <c r="B30" s="5">
        <v>2</v>
      </c>
    </row>
    <row r="31" spans="1:9" x14ac:dyDescent="0.3">
      <c r="A31" s="4" t="s">
        <v>91</v>
      </c>
      <c r="B31" s="5">
        <v>3</v>
      </c>
    </row>
    <row r="32" spans="1:9" x14ac:dyDescent="0.3">
      <c r="A32" s="4" t="s">
        <v>84</v>
      </c>
      <c r="B32" s="5">
        <v>3</v>
      </c>
    </row>
    <row r="33" spans="1:2" x14ac:dyDescent="0.3">
      <c r="A33" s="4" t="s">
        <v>98</v>
      </c>
      <c r="B33" s="5">
        <v>3</v>
      </c>
    </row>
    <row r="34" spans="1:2" x14ac:dyDescent="0.3">
      <c r="A34" s="4" t="s">
        <v>111</v>
      </c>
      <c r="B34" s="5">
        <v>2</v>
      </c>
    </row>
    <row r="35" spans="1:2" x14ac:dyDescent="0.3">
      <c r="A35" s="4" t="s">
        <v>113</v>
      </c>
      <c r="B35" s="5">
        <v>2</v>
      </c>
    </row>
    <row r="36" spans="1:2" x14ac:dyDescent="0.3">
      <c r="A36" s="4" t="s">
        <v>114</v>
      </c>
      <c r="B36" s="5">
        <v>2</v>
      </c>
    </row>
    <row r="37" spans="1:2" x14ac:dyDescent="0.3">
      <c r="A37" s="4" t="s">
        <v>118</v>
      </c>
      <c r="B37" s="5">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4"/>
  <sheetViews>
    <sheetView workbookViewId="0">
      <selection activeCell="F16" sqref="F16"/>
    </sheetView>
  </sheetViews>
  <sheetFormatPr defaultRowHeight="14.4" x14ac:dyDescent="0.3"/>
  <cols>
    <col min="1" max="1" width="12.5546875" bestFit="1" customWidth="1"/>
    <col min="2" max="2" width="19.33203125" customWidth="1"/>
    <col min="3" max="3" width="19.44140625" bestFit="1" customWidth="1"/>
    <col min="4" max="4" width="12.5546875" bestFit="1" customWidth="1"/>
    <col min="5" max="5" width="19.33203125" bestFit="1" customWidth="1"/>
  </cols>
  <sheetData>
    <row r="3" spans="1:5" x14ac:dyDescent="0.3">
      <c r="A3" s="3" t="s">
        <v>117</v>
      </c>
      <c r="B3" t="s">
        <v>122</v>
      </c>
      <c r="D3" s="3" t="s">
        <v>117</v>
      </c>
      <c r="E3" t="s">
        <v>122</v>
      </c>
    </row>
    <row r="4" spans="1:5" x14ac:dyDescent="0.3">
      <c r="A4" s="4" t="s">
        <v>87</v>
      </c>
      <c r="B4" s="5">
        <v>8</v>
      </c>
      <c r="D4" s="4" t="s">
        <v>87</v>
      </c>
      <c r="E4" s="5">
        <v>8</v>
      </c>
    </row>
    <row r="5" spans="1:5" x14ac:dyDescent="0.3">
      <c r="A5" s="4" t="s">
        <v>79</v>
      </c>
      <c r="B5" s="5">
        <v>12</v>
      </c>
      <c r="D5" s="4" t="s">
        <v>79</v>
      </c>
      <c r="E5" s="5">
        <v>12</v>
      </c>
    </row>
    <row r="6" spans="1:5" x14ac:dyDescent="0.3">
      <c r="A6" s="4" t="s">
        <v>118</v>
      </c>
      <c r="B6" s="5">
        <v>20</v>
      </c>
      <c r="D6" s="4" t="s">
        <v>118</v>
      </c>
      <c r="E6" s="5">
        <v>20</v>
      </c>
    </row>
    <row r="9" spans="1:5" x14ac:dyDescent="0.3">
      <c r="A9" s="3" t="s">
        <v>117</v>
      </c>
      <c r="B9" t="s">
        <v>134</v>
      </c>
    </row>
    <row r="10" spans="1:5" x14ac:dyDescent="0.3">
      <c r="A10" s="4" t="s">
        <v>87</v>
      </c>
      <c r="B10" s="5">
        <v>272</v>
      </c>
    </row>
    <row r="11" spans="1:5" x14ac:dyDescent="0.3">
      <c r="A11" s="4" t="s">
        <v>79</v>
      </c>
      <c r="B11" s="5">
        <v>489</v>
      </c>
    </row>
    <row r="12" spans="1:5" x14ac:dyDescent="0.3">
      <c r="A12" s="4" t="s">
        <v>118</v>
      </c>
      <c r="B12" s="5">
        <v>761</v>
      </c>
    </row>
    <row r="21" spans="1:2" x14ac:dyDescent="0.3">
      <c r="A21" s="3" t="s">
        <v>117</v>
      </c>
      <c r="B21" t="s">
        <v>135</v>
      </c>
    </row>
    <row r="22" spans="1:2" x14ac:dyDescent="0.3">
      <c r="A22" s="4" t="s">
        <v>87</v>
      </c>
      <c r="B22" s="5">
        <v>8</v>
      </c>
    </row>
    <row r="23" spans="1:2" x14ac:dyDescent="0.3">
      <c r="A23" s="4" t="s">
        <v>79</v>
      </c>
      <c r="B23" s="5">
        <v>12</v>
      </c>
    </row>
    <row r="24" spans="1:2" x14ac:dyDescent="0.3">
      <c r="A24" s="4" t="s">
        <v>118</v>
      </c>
      <c r="B24" s="5">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22"/>
  <sheetViews>
    <sheetView workbookViewId="0">
      <selection activeCell="G21" sqref="G21"/>
    </sheetView>
  </sheetViews>
  <sheetFormatPr defaultRowHeight="14.4" x14ac:dyDescent="0.3"/>
  <cols>
    <col min="1" max="1" width="12.5546875" bestFit="1" customWidth="1"/>
    <col min="2" max="2" width="14.88671875" customWidth="1"/>
    <col min="3" max="3" width="16" bestFit="1" customWidth="1"/>
    <col min="4" max="4" width="12.109375" bestFit="1" customWidth="1"/>
    <col min="8" max="8" width="12.5546875" bestFit="1" customWidth="1"/>
    <col min="9" max="10" width="16" bestFit="1" customWidth="1"/>
  </cols>
  <sheetData>
    <row r="3" spans="1:9" x14ac:dyDescent="0.3">
      <c r="A3" s="3" t="s">
        <v>117</v>
      </c>
      <c r="B3" t="s">
        <v>120</v>
      </c>
      <c r="C3" t="s">
        <v>119</v>
      </c>
      <c r="D3" t="s">
        <v>121</v>
      </c>
      <c r="H3" s="3" t="s">
        <v>117</v>
      </c>
      <c r="I3" t="s">
        <v>119</v>
      </c>
    </row>
    <row r="4" spans="1:9" x14ac:dyDescent="0.3">
      <c r="A4" s="4" t="s">
        <v>90</v>
      </c>
      <c r="B4" s="5">
        <v>183000</v>
      </c>
      <c r="C4" s="5">
        <v>5</v>
      </c>
      <c r="D4" s="5">
        <v>36000</v>
      </c>
      <c r="H4" s="4" t="s">
        <v>90</v>
      </c>
      <c r="I4" s="5">
        <v>5</v>
      </c>
    </row>
    <row r="5" spans="1:9" x14ac:dyDescent="0.3">
      <c r="A5" s="4" t="s">
        <v>46</v>
      </c>
      <c r="B5" s="5">
        <v>183000</v>
      </c>
      <c r="C5" s="5">
        <v>5</v>
      </c>
      <c r="D5" s="5">
        <v>36000</v>
      </c>
      <c r="H5" s="4" t="s">
        <v>46</v>
      </c>
      <c r="I5" s="5">
        <v>5</v>
      </c>
    </row>
    <row r="6" spans="1:9" x14ac:dyDescent="0.3">
      <c r="A6" s="4" t="s">
        <v>82</v>
      </c>
      <c r="B6" s="5">
        <v>183000</v>
      </c>
      <c r="C6" s="5">
        <v>5</v>
      </c>
      <c r="D6" s="5">
        <v>36000</v>
      </c>
      <c r="H6" s="4" t="s">
        <v>82</v>
      </c>
      <c r="I6" s="5">
        <v>5</v>
      </c>
    </row>
    <row r="7" spans="1:9" x14ac:dyDescent="0.3">
      <c r="A7" s="4" t="s">
        <v>97</v>
      </c>
      <c r="B7" s="5">
        <v>183000</v>
      </c>
      <c r="C7" s="5">
        <v>5</v>
      </c>
      <c r="D7" s="5">
        <v>36000</v>
      </c>
      <c r="H7" s="4" t="s">
        <v>97</v>
      </c>
      <c r="I7" s="5">
        <v>5</v>
      </c>
    </row>
    <row r="8" spans="1:9" x14ac:dyDescent="0.3">
      <c r="A8" s="4" t="s">
        <v>118</v>
      </c>
      <c r="B8" s="5">
        <v>732000</v>
      </c>
      <c r="C8" s="5">
        <v>20</v>
      </c>
      <c r="D8" s="5">
        <v>144000</v>
      </c>
      <c r="H8" s="4" t="s">
        <v>118</v>
      </c>
      <c r="I8" s="5">
        <v>20</v>
      </c>
    </row>
    <row r="17" spans="1:2" x14ac:dyDescent="0.3">
      <c r="A17" s="3" t="s">
        <v>117</v>
      </c>
      <c r="B17" t="s">
        <v>121</v>
      </c>
    </row>
    <row r="18" spans="1:2" x14ac:dyDescent="0.3">
      <c r="A18" s="4" t="s">
        <v>90</v>
      </c>
      <c r="B18" s="5">
        <v>36000</v>
      </c>
    </row>
    <row r="19" spans="1:2" x14ac:dyDescent="0.3">
      <c r="A19" s="4" t="s">
        <v>46</v>
      </c>
      <c r="B19" s="5">
        <v>36000</v>
      </c>
    </row>
    <row r="20" spans="1:2" x14ac:dyDescent="0.3">
      <c r="A20" s="4" t="s">
        <v>82</v>
      </c>
      <c r="B20" s="5">
        <v>36000</v>
      </c>
    </row>
    <row r="21" spans="1:2" x14ac:dyDescent="0.3">
      <c r="A21" s="4" t="s">
        <v>97</v>
      </c>
      <c r="B21" s="5">
        <v>36000</v>
      </c>
    </row>
    <row r="22" spans="1:2" x14ac:dyDescent="0.3">
      <c r="A22" s="4" t="s">
        <v>118</v>
      </c>
      <c r="B22" s="5">
        <v>144000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2"/>
  <sheetViews>
    <sheetView workbookViewId="0">
      <selection activeCell="A3" sqref="A3:D9"/>
    </sheetView>
  </sheetViews>
  <sheetFormatPr defaultRowHeight="14.4" x14ac:dyDescent="0.3"/>
  <cols>
    <col min="1" max="1" width="13.6640625" customWidth="1"/>
    <col min="2" max="2" width="17.77734375" customWidth="1"/>
    <col min="3" max="3" width="17" bestFit="1" customWidth="1"/>
    <col min="4" max="4" width="19.5546875" bestFit="1" customWidth="1"/>
    <col min="5" max="5" width="13.6640625" customWidth="1"/>
    <col min="6" max="6" width="17.77734375" bestFit="1" customWidth="1"/>
    <col min="7" max="7" width="13.6640625" customWidth="1"/>
    <col min="8" max="8" width="19.5546875" bestFit="1" customWidth="1"/>
    <col min="9" max="9" width="17.77734375" bestFit="1" customWidth="1"/>
  </cols>
  <sheetData>
    <row r="3" spans="1:8" x14ac:dyDescent="0.3">
      <c r="A3" s="3" t="s">
        <v>117</v>
      </c>
      <c r="B3" t="s">
        <v>123</v>
      </c>
      <c r="C3" t="s">
        <v>124</v>
      </c>
      <c r="D3" t="s">
        <v>136</v>
      </c>
      <c r="E3" s="3" t="s">
        <v>117</v>
      </c>
      <c r="F3" t="s">
        <v>123</v>
      </c>
    </row>
    <row r="4" spans="1:8" x14ac:dyDescent="0.3">
      <c r="A4" s="4" t="s">
        <v>107</v>
      </c>
      <c r="B4" s="5">
        <v>1050</v>
      </c>
      <c r="C4" s="5">
        <v>13.799999999999999</v>
      </c>
      <c r="D4" s="5">
        <v>3</v>
      </c>
      <c r="E4" s="4" t="s">
        <v>107</v>
      </c>
      <c r="F4" s="5">
        <v>1050</v>
      </c>
    </row>
    <row r="5" spans="1:8" x14ac:dyDescent="0.3">
      <c r="A5" s="4" t="s">
        <v>96</v>
      </c>
      <c r="B5" s="5">
        <v>900</v>
      </c>
      <c r="C5" s="5">
        <v>13.200000000000001</v>
      </c>
      <c r="D5" s="5">
        <v>3</v>
      </c>
      <c r="E5" s="4" t="s">
        <v>96</v>
      </c>
      <c r="F5" s="5">
        <v>900</v>
      </c>
    </row>
    <row r="6" spans="1:8" x14ac:dyDescent="0.3">
      <c r="A6" s="4" t="s">
        <v>105</v>
      </c>
      <c r="B6" s="5">
        <v>2000</v>
      </c>
      <c r="C6" s="5">
        <v>19.5</v>
      </c>
      <c r="D6" s="5">
        <v>4</v>
      </c>
      <c r="E6" s="4" t="s">
        <v>105</v>
      </c>
      <c r="F6" s="5">
        <v>2000</v>
      </c>
    </row>
    <row r="7" spans="1:8" x14ac:dyDescent="0.3">
      <c r="A7" s="4" t="s">
        <v>89</v>
      </c>
      <c r="B7" s="5">
        <v>750</v>
      </c>
      <c r="C7" s="5">
        <v>13.3</v>
      </c>
      <c r="D7" s="5">
        <v>3</v>
      </c>
      <c r="E7" s="4" t="s">
        <v>89</v>
      </c>
      <c r="F7" s="5">
        <v>750</v>
      </c>
    </row>
    <row r="8" spans="1:8" x14ac:dyDescent="0.3">
      <c r="A8" s="4" t="s">
        <v>81</v>
      </c>
      <c r="B8" s="5">
        <v>1050</v>
      </c>
      <c r="C8" s="5">
        <v>32.6</v>
      </c>
      <c r="D8" s="5">
        <v>7</v>
      </c>
      <c r="E8" s="4" t="s">
        <v>81</v>
      </c>
      <c r="F8" s="5">
        <v>1050</v>
      </c>
    </row>
    <row r="9" spans="1:8" x14ac:dyDescent="0.3">
      <c r="A9" s="4" t="s">
        <v>118</v>
      </c>
      <c r="B9" s="5">
        <v>5750</v>
      </c>
      <c r="C9" s="5">
        <v>92.4</v>
      </c>
      <c r="D9" s="5">
        <v>20</v>
      </c>
      <c r="E9" s="4" t="s">
        <v>118</v>
      </c>
      <c r="F9" s="5">
        <v>5750</v>
      </c>
    </row>
    <row r="13" spans="1:8" x14ac:dyDescent="0.3">
      <c r="A13" s="3" t="s">
        <v>117</v>
      </c>
      <c r="B13" t="s">
        <v>124</v>
      </c>
    </row>
    <row r="14" spans="1:8" x14ac:dyDescent="0.3">
      <c r="A14" s="4" t="s">
        <v>107</v>
      </c>
      <c r="B14" s="5">
        <v>13.799999999999999</v>
      </c>
    </row>
    <row r="15" spans="1:8" x14ac:dyDescent="0.3">
      <c r="A15" s="4" t="s">
        <v>96</v>
      </c>
      <c r="B15" s="5">
        <v>13.200000000000001</v>
      </c>
    </row>
    <row r="16" spans="1:8" x14ac:dyDescent="0.3">
      <c r="A16" s="4" t="s">
        <v>105</v>
      </c>
      <c r="B16" s="5">
        <v>19.5</v>
      </c>
      <c r="G16" s="3" t="s">
        <v>117</v>
      </c>
      <c r="H16" t="s">
        <v>136</v>
      </c>
    </row>
    <row r="17" spans="1:8" x14ac:dyDescent="0.3">
      <c r="A17" s="4" t="s">
        <v>89</v>
      </c>
      <c r="B17" s="5">
        <v>13.3</v>
      </c>
      <c r="G17" s="4" t="s">
        <v>107</v>
      </c>
      <c r="H17" s="5">
        <v>3</v>
      </c>
    </row>
    <row r="18" spans="1:8" x14ac:dyDescent="0.3">
      <c r="A18" s="4" t="s">
        <v>81</v>
      </c>
      <c r="B18" s="5">
        <v>32.6</v>
      </c>
      <c r="G18" s="4" t="s">
        <v>96</v>
      </c>
      <c r="H18" s="5">
        <v>3</v>
      </c>
    </row>
    <row r="19" spans="1:8" x14ac:dyDescent="0.3">
      <c r="A19" s="4" t="s">
        <v>118</v>
      </c>
      <c r="B19" s="5">
        <v>92.4</v>
      </c>
      <c r="G19" s="4" t="s">
        <v>105</v>
      </c>
      <c r="H19" s="5">
        <v>4</v>
      </c>
    </row>
    <row r="20" spans="1:8" x14ac:dyDescent="0.3">
      <c r="G20" s="4" t="s">
        <v>89</v>
      </c>
      <c r="H20" s="5">
        <v>3</v>
      </c>
    </row>
    <row r="21" spans="1:8" x14ac:dyDescent="0.3">
      <c r="G21" s="4" t="s">
        <v>81</v>
      </c>
      <c r="H21" s="5">
        <v>7</v>
      </c>
    </row>
    <row r="22" spans="1:8" x14ac:dyDescent="0.3">
      <c r="G22" s="4" t="s">
        <v>118</v>
      </c>
      <c r="H22" s="5">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2"/>
  <sheetViews>
    <sheetView workbookViewId="0">
      <selection activeCell="B4" sqref="A3:D9"/>
    </sheetView>
  </sheetViews>
  <sheetFormatPr defaultRowHeight="14.4" x14ac:dyDescent="0.3"/>
  <cols>
    <col min="1" max="1" width="12.5546875" bestFit="1" customWidth="1"/>
    <col min="2" max="2" width="14.88671875" customWidth="1"/>
    <col min="3" max="3" width="12.109375" customWidth="1"/>
    <col min="4" max="4" width="12.109375" bestFit="1" customWidth="1"/>
    <col min="13" max="13" width="12.5546875" bestFit="1" customWidth="1"/>
    <col min="14" max="15" width="12.109375" bestFit="1" customWidth="1"/>
  </cols>
  <sheetData>
    <row r="3" spans="1:14" x14ac:dyDescent="0.3">
      <c r="A3" s="3" t="s">
        <v>117</v>
      </c>
      <c r="B3" t="s">
        <v>120</v>
      </c>
      <c r="C3" t="s">
        <v>126</v>
      </c>
      <c r="D3" t="s">
        <v>121</v>
      </c>
      <c r="M3" s="3" t="s">
        <v>117</v>
      </c>
      <c r="N3" t="s">
        <v>121</v>
      </c>
    </row>
    <row r="4" spans="1:14" x14ac:dyDescent="0.3">
      <c r="A4" s="4" t="s">
        <v>102</v>
      </c>
      <c r="B4" s="5">
        <v>240000</v>
      </c>
      <c r="C4" s="5">
        <v>192000</v>
      </c>
      <c r="D4" s="5">
        <v>48000</v>
      </c>
      <c r="M4" s="4" t="s">
        <v>102</v>
      </c>
      <c r="N4" s="5">
        <v>48000</v>
      </c>
    </row>
    <row r="5" spans="1:14" x14ac:dyDescent="0.3">
      <c r="A5" s="4" t="s">
        <v>92</v>
      </c>
      <c r="B5" s="5">
        <v>160000</v>
      </c>
      <c r="C5" s="5">
        <v>132000</v>
      </c>
      <c r="D5" s="5">
        <v>28000</v>
      </c>
      <c r="M5" s="4" t="s">
        <v>92</v>
      </c>
      <c r="N5" s="5">
        <v>28000</v>
      </c>
    </row>
    <row r="6" spans="1:14" x14ac:dyDescent="0.3">
      <c r="A6" s="4" t="s">
        <v>85</v>
      </c>
      <c r="B6" s="5">
        <v>112000</v>
      </c>
      <c r="C6" s="5">
        <v>88000</v>
      </c>
      <c r="D6" s="5">
        <v>24000</v>
      </c>
      <c r="M6" s="4" t="s">
        <v>85</v>
      </c>
      <c r="N6" s="5">
        <v>24000</v>
      </c>
    </row>
    <row r="7" spans="1:14" x14ac:dyDescent="0.3">
      <c r="A7" s="4" t="s">
        <v>99</v>
      </c>
      <c r="B7" s="5">
        <v>100000</v>
      </c>
      <c r="C7" s="5">
        <v>80000</v>
      </c>
      <c r="D7" s="5">
        <v>20000</v>
      </c>
      <c r="M7" s="4" t="s">
        <v>99</v>
      </c>
      <c r="N7" s="5">
        <v>20000</v>
      </c>
    </row>
    <row r="8" spans="1:14" x14ac:dyDescent="0.3">
      <c r="A8" s="4" t="s">
        <v>56</v>
      </c>
      <c r="B8" s="5">
        <v>120000</v>
      </c>
      <c r="C8" s="5">
        <v>96000</v>
      </c>
      <c r="D8" s="5">
        <v>24000</v>
      </c>
      <c r="M8" s="4" t="s">
        <v>56</v>
      </c>
      <c r="N8" s="5">
        <v>24000</v>
      </c>
    </row>
    <row r="9" spans="1:14" x14ac:dyDescent="0.3">
      <c r="A9" s="4" t="s">
        <v>118</v>
      </c>
      <c r="B9" s="5">
        <v>732000</v>
      </c>
      <c r="C9" s="5">
        <v>588000</v>
      </c>
      <c r="D9" s="5">
        <v>144000</v>
      </c>
      <c r="M9" s="4" t="s">
        <v>118</v>
      </c>
      <c r="N9" s="5">
        <v>144000</v>
      </c>
    </row>
    <row r="16" spans="1:14" x14ac:dyDescent="0.3">
      <c r="A16" s="3" t="s">
        <v>117</v>
      </c>
      <c r="B16" t="s">
        <v>120</v>
      </c>
      <c r="C16" t="s">
        <v>121</v>
      </c>
    </row>
    <row r="17" spans="1:3" x14ac:dyDescent="0.3">
      <c r="A17" s="4" t="s">
        <v>102</v>
      </c>
      <c r="B17" s="5">
        <v>240000</v>
      </c>
      <c r="C17" s="5">
        <v>48000</v>
      </c>
    </row>
    <row r="18" spans="1:3" x14ac:dyDescent="0.3">
      <c r="A18" s="4" t="s">
        <v>92</v>
      </c>
      <c r="B18" s="5">
        <v>160000</v>
      </c>
      <c r="C18" s="5">
        <v>28000</v>
      </c>
    </row>
    <row r="19" spans="1:3" x14ac:dyDescent="0.3">
      <c r="A19" s="4" t="s">
        <v>85</v>
      </c>
      <c r="B19" s="5">
        <v>112000</v>
      </c>
      <c r="C19" s="5">
        <v>24000</v>
      </c>
    </row>
    <row r="20" spans="1:3" x14ac:dyDescent="0.3">
      <c r="A20" s="4" t="s">
        <v>99</v>
      </c>
      <c r="B20" s="5">
        <v>100000</v>
      </c>
      <c r="C20" s="5">
        <v>20000</v>
      </c>
    </row>
    <row r="21" spans="1:3" x14ac:dyDescent="0.3">
      <c r="A21" s="4" t="s">
        <v>56</v>
      </c>
      <c r="B21" s="5">
        <v>120000</v>
      </c>
      <c r="C21" s="5">
        <v>24000</v>
      </c>
    </row>
    <row r="22" spans="1:3" x14ac:dyDescent="0.3">
      <c r="A22" s="4" t="s">
        <v>118</v>
      </c>
      <c r="B22" s="5">
        <v>732000</v>
      </c>
      <c r="C22" s="5">
        <v>144000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showGridLines="0" tabSelected="1" zoomScaleNormal="100" workbookViewId="0">
      <selection sqref="A1:Q4"/>
    </sheetView>
  </sheetViews>
  <sheetFormatPr defaultRowHeight="14.4" x14ac:dyDescent="0.3"/>
  <cols>
    <col min="1" max="1" width="8.21875" style="7" customWidth="1"/>
    <col min="2" max="2" width="25" style="7" bestFit="1" customWidth="1"/>
    <col min="3" max="3" width="8.77734375" style="7" customWidth="1"/>
    <col min="4" max="4" width="8.88671875" style="7" customWidth="1"/>
    <col min="5" max="5" width="16.33203125" style="7" bestFit="1" customWidth="1"/>
    <col min="6" max="6" width="8.88671875" style="7"/>
    <col min="7" max="7" width="9.33203125" style="7" bestFit="1" customWidth="1"/>
    <col min="8" max="8" width="11.44140625" style="7" bestFit="1" customWidth="1"/>
    <col min="9" max="9" width="9.44140625" style="7" customWidth="1"/>
    <col min="10" max="10" width="8.44140625" style="7" customWidth="1"/>
    <col min="11" max="11" width="12.77734375" style="7" bestFit="1" customWidth="1"/>
    <col min="12" max="12" width="8.88671875" style="7"/>
    <col min="13" max="13" width="9.88671875" style="7" customWidth="1"/>
    <col min="14" max="14" width="15.77734375" style="7" bestFit="1" customWidth="1"/>
    <col min="15" max="16384" width="8.88671875" style="7"/>
  </cols>
  <sheetData>
    <row r="1" spans="1:17" ht="14.4" customHeight="1" x14ac:dyDescent="0.3">
      <c r="A1" s="13" t="s">
        <v>137</v>
      </c>
      <c r="B1" s="13"/>
      <c r="C1" s="13"/>
      <c r="D1" s="13"/>
      <c r="E1" s="13"/>
      <c r="F1" s="13"/>
      <c r="G1" s="13"/>
      <c r="H1" s="13"/>
      <c r="I1" s="13"/>
      <c r="J1" s="13"/>
      <c r="K1" s="13"/>
      <c r="L1" s="13"/>
      <c r="M1" s="13"/>
      <c r="N1" s="13"/>
      <c r="O1" s="13"/>
      <c r="P1" s="13"/>
      <c r="Q1" s="13"/>
    </row>
    <row r="2" spans="1:17" ht="14.4" customHeight="1" x14ac:dyDescent="0.3">
      <c r="A2" s="13"/>
      <c r="B2" s="13"/>
      <c r="C2" s="13"/>
      <c r="D2" s="13"/>
      <c r="E2" s="13"/>
      <c r="F2" s="13"/>
      <c r="G2" s="13"/>
      <c r="H2" s="13"/>
      <c r="I2" s="13"/>
      <c r="J2" s="13"/>
      <c r="K2" s="13"/>
      <c r="L2" s="13"/>
      <c r="M2" s="13"/>
      <c r="N2" s="13"/>
      <c r="O2" s="13"/>
      <c r="P2" s="13"/>
      <c r="Q2" s="13"/>
    </row>
    <row r="3" spans="1:17" ht="14.4" customHeight="1" x14ac:dyDescent="0.3">
      <c r="A3" s="13"/>
      <c r="B3" s="13"/>
      <c r="C3" s="13"/>
      <c r="D3" s="13"/>
      <c r="E3" s="13"/>
      <c r="F3" s="13"/>
      <c r="G3" s="13"/>
      <c r="H3" s="13"/>
      <c r="I3" s="13"/>
      <c r="J3" s="13"/>
      <c r="K3" s="13"/>
      <c r="L3" s="13"/>
      <c r="M3" s="13"/>
      <c r="N3" s="13"/>
      <c r="O3" s="13"/>
      <c r="P3" s="13"/>
      <c r="Q3" s="13"/>
    </row>
    <row r="4" spans="1:17" ht="14.4" customHeight="1" x14ac:dyDescent="0.3">
      <c r="A4" s="14"/>
      <c r="B4" s="14"/>
      <c r="C4" s="14"/>
      <c r="D4" s="14"/>
      <c r="E4" s="14"/>
      <c r="F4" s="14"/>
      <c r="G4" s="14"/>
      <c r="H4" s="14"/>
      <c r="I4" s="14"/>
      <c r="J4" s="14"/>
      <c r="K4" s="14"/>
      <c r="L4" s="14"/>
      <c r="M4" s="14"/>
      <c r="N4" s="14"/>
      <c r="O4" s="14"/>
      <c r="P4" s="14"/>
      <c r="Q4" s="14"/>
    </row>
    <row r="6" spans="1:17" ht="21" x14ac:dyDescent="0.4">
      <c r="A6" s="8"/>
      <c r="B6" s="9" t="s">
        <v>127</v>
      </c>
      <c r="C6" s="8"/>
      <c r="D6" s="8"/>
      <c r="E6" s="11" t="s">
        <v>128</v>
      </c>
      <c r="F6" s="8"/>
      <c r="G6" s="8"/>
      <c r="H6" s="11" t="s">
        <v>129</v>
      </c>
      <c r="I6" s="8"/>
      <c r="J6" s="8"/>
      <c r="K6" s="11" t="s">
        <v>130</v>
      </c>
      <c r="L6" s="8"/>
      <c r="M6" s="8"/>
      <c r="N6" s="11" t="s">
        <v>132</v>
      </c>
      <c r="O6" s="8"/>
      <c r="P6" s="8"/>
      <c r="Q6" s="8"/>
    </row>
    <row r="7" spans="1:17" ht="18" x14ac:dyDescent="0.3">
      <c r="A7" s="8"/>
      <c r="B7" s="10">
        <f>GETPIVOTDATA("Sum of Units Sold",KPIBackend!$A$3)</f>
        <v>20</v>
      </c>
      <c r="C7" s="8"/>
      <c r="D7" s="8"/>
      <c r="E7" s="10">
        <f>GETPIVOTDATA("Revenue",KPIBackend!$A$3)</f>
        <v>732000</v>
      </c>
      <c r="F7" s="8"/>
      <c r="G7" s="8"/>
      <c r="H7" s="10">
        <f>GETPIVOTDATA("Sum of Cost",KPIBackend!$A$3)</f>
        <v>588000</v>
      </c>
      <c r="I7" s="8"/>
      <c r="J7" s="8"/>
      <c r="K7" s="10">
        <f>GETPIVOTDATA("Sum of Profit",KPIBackend!$A$3)</f>
        <v>144000</v>
      </c>
      <c r="L7" s="8"/>
      <c r="M7" s="8"/>
      <c r="N7" s="12">
        <f>GETPIVOTDATA("Average of CSAT Score",KPIBackend!$A$3)</f>
        <v>4.62</v>
      </c>
      <c r="O7" s="8"/>
      <c r="P7" s="8"/>
      <c r="Q7" s="8"/>
    </row>
    <row r="32" spans="5:5" x14ac:dyDescent="0.3">
      <c r="E32" s="7" t="s">
        <v>138</v>
      </c>
    </row>
  </sheetData>
  <mergeCells count="7">
    <mergeCell ref="A1:Q4"/>
    <mergeCell ref="A6:A7"/>
    <mergeCell ref="C6:D7"/>
    <mergeCell ref="F6:G7"/>
    <mergeCell ref="I6:J7"/>
    <mergeCell ref="L6:M7"/>
    <mergeCell ref="O6:Q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
  <sheetViews>
    <sheetView workbookViewId="0">
      <selection activeCell="B4" sqref="B4"/>
    </sheetView>
  </sheetViews>
  <sheetFormatPr defaultRowHeight="14.4" x14ac:dyDescent="0.3"/>
  <cols>
    <col min="1" max="1" width="14.88671875" customWidth="1"/>
    <col min="2" max="2" width="16" bestFit="1" customWidth="1"/>
    <col min="3" max="3" width="11.109375" customWidth="1"/>
    <col min="4" max="4" width="12.109375" customWidth="1"/>
    <col min="5" max="5" width="20.21875" bestFit="1" customWidth="1"/>
    <col min="6" max="6" width="10.77734375" bestFit="1" customWidth="1"/>
  </cols>
  <sheetData>
    <row r="3" spans="1:5" x14ac:dyDescent="0.3">
      <c r="A3" t="s">
        <v>120</v>
      </c>
      <c r="B3" t="s">
        <v>119</v>
      </c>
      <c r="C3" t="s">
        <v>126</v>
      </c>
      <c r="D3" t="s">
        <v>121</v>
      </c>
      <c r="E3" t="s">
        <v>131</v>
      </c>
    </row>
    <row r="4" spans="1:5" x14ac:dyDescent="0.3">
      <c r="A4" s="5">
        <v>732000</v>
      </c>
      <c r="B4" s="5">
        <v>20</v>
      </c>
      <c r="C4" s="5">
        <v>588000</v>
      </c>
      <c r="D4" s="5">
        <v>144000</v>
      </c>
      <c r="E4" s="5">
        <v>4.62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workbookViewId="0">
      <selection activeCell="M22" sqref="M22"/>
    </sheetView>
  </sheetViews>
  <sheetFormatPr defaultRowHeight="14.4" x14ac:dyDescent="0.3"/>
  <cols>
    <col min="1" max="1" width="8.5546875" customWidth="1"/>
    <col min="2" max="2" width="10.6640625" customWidth="1"/>
    <col min="3" max="3" width="6.5546875" customWidth="1"/>
    <col min="4" max="5" width="8.6640625" customWidth="1"/>
    <col min="6" max="6" width="10.44140625" customWidth="1"/>
    <col min="7" max="7" width="13.6640625" customWidth="1"/>
    <col min="8" max="8" width="7.88671875" customWidth="1"/>
    <col min="9" max="9" width="8.33203125" customWidth="1"/>
    <col min="10" max="10" width="11.5546875" bestFit="1" customWidth="1"/>
    <col min="11" max="11" width="13.21875" customWidth="1"/>
    <col min="12" max="12" width="14.6640625" customWidth="1"/>
    <col min="13" max="13" width="9" customWidth="1"/>
    <col min="14" max="14" width="9.21875" customWidth="1"/>
    <col min="15" max="15" width="12.5546875" customWidth="1"/>
    <col min="16" max="16" width="9.44140625" bestFit="1" customWidth="1"/>
    <col min="17" max="17" width="12.88671875" customWidth="1"/>
    <col min="18" max="18" width="23.21875" customWidth="1"/>
    <col min="19" max="19" width="6.5546875" customWidth="1"/>
    <col min="20" max="20" width="7.5546875" customWidth="1"/>
    <col min="21" max="21" width="13" customWidth="1"/>
    <col min="22" max="22" width="21.6640625" style="2" customWidth="1"/>
    <col min="23" max="23" width="13.6640625" bestFit="1" customWidth="1"/>
    <col min="24" max="24" width="13" customWidth="1"/>
    <col min="25" max="25" width="12.3320312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21</v>
      </c>
      <c r="W1" t="s">
        <v>22</v>
      </c>
      <c r="X1" t="s">
        <v>23</v>
      </c>
      <c r="Y1" t="s">
        <v>24</v>
      </c>
    </row>
    <row r="2" spans="1:25" x14ac:dyDescent="0.3">
      <c r="A2" t="s">
        <v>25</v>
      </c>
      <c r="B2" s="1">
        <v>46027</v>
      </c>
      <c r="C2">
        <v>2026</v>
      </c>
      <c r="D2" t="s">
        <v>45</v>
      </c>
      <c r="E2" t="s">
        <v>46</v>
      </c>
      <c r="F2" t="s">
        <v>47</v>
      </c>
      <c r="G2" t="s">
        <v>55</v>
      </c>
      <c r="H2" t="s">
        <v>56</v>
      </c>
      <c r="I2" t="s">
        <v>57</v>
      </c>
      <c r="J2" t="s">
        <v>58</v>
      </c>
      <c r="K2" t="s">
        <v>59</v>
      </c>
      <c r="L2">
        <v>32</v>
      </c>
      <c r="M2" t="s">
        <v>79</v>
      </c>
      <c r="N2">
        <v>65000</v>
      </c>
      <c r="O2" t="s">
        <v>80</v>
      </c>
      <c r="P2" s="6">
        <v>1</v>
      </c>
      <c r="Q2">
        <v>30000</v>
      </c>
      <c r="R2">
        <f>Table2[[#This Row],[Units Sold]]*Table2[[#This Row],[Selling Price]]</f>
        <v>30000</v>
      </c>
      <c r="S2">
        <v>24000</v>
      </c>
      <c r="T2">
        <f t="shared" ref="T2:T7" si="0">R2-S2</f>
        <v>6000</v>
      </c>
      <c r="U2">
        <v>1000</v>
      </c>
      <c r="V2" s="2">
        <v>1</v>
      </c>
      <c r="W2" t="s">
        <v>81</v>
      </c>
      <c r="X2">
        <v>150</v>
      </c>
      <c r="Y2">
        <v>4.8</v>
      </c>
    </row>
    <row r="3" spans="1:25" x14ac:dyDescent="0.3">
      <c r="A3" t="s">
        <v>26</v>
      </c>
      <c r="B3" s="1">
        <v>46034</v>
      </c>
      <c r="C3">
        <v>2026</v>
      </c>
      <c r="D3" t="s">
        <v>45</v>
      </c>
      <c r="E3" t="s">
        <v>82</v>
      </c>
      <c r="F3" t="s">
        <v>48</v>
      </c>
      <c r="G3" t="s">
        <v>84</v>
      </c>
      <c r="H3" t="s">
        <v>85</v>
      </c>
      <c r="I3" t="s">
        <v>86</v>
      </c>
      <c r="J3" t="s">
        <v>58</v>
      </c>
      <c r="K3" t="s">
        <v>60</v>
      </c>
      <c r="L3">
        <v>41</v>
      </c>
      <c r="M3" t="s">
        <v>87</v>
      </c>
      <c r="N3">
        <v>72000</v>
      </c>
      <c r="O3" t="s">
        <v>88</v>
      </c>
      <c r="P3" s="6">
        <v>1</v>
      </c>
      <c r="Q3">
        <v>28000</v>
      </c>
      <c r="R3">
        <f>Table2[[#This Row],[Units Sold]]*Table2[[#This Row],[Selling Price]]</f>
        <v>28000</v>
      </c>
      <c r="S3">
        <v>22000</v>
      </c>
      <c r="T3">
        <f t="shared" si="0"/>
        <v>6000</v>
      </c>
      <c r="U3">
        <v>900</v>
      </c>
      <c r="V3" s="2">
        <v>1</v>
      </c>
      <c r="W3" t="s">
        <v>89</v>
      </c>
      <c r="X3">
        <v>250</v>
      </c>
      <c r="Y3">
        <v>4.5</v>
      </c>
    </row>
    <row r="4" spans="1:25" x14ac:dyDescent="0.3">
      <c r="A4" t="s">
        <v>27</v>
      </c>
      <c r="B4" s="1">
        <v>46040</v>
      </c>
      <c r="C4">
        <v>2026</v>
      </c>
      <c r="D4" t="s">
        <v>45</v>
      </c>
      <c r="E4" t="s">
        <v>90</v>
      </c>
      <c r="F4" t="s">
        <v>49</v>
      </c>
      <c r="G4" t="s">
        <v>91</v>
      </c>
      <c r="H4" t="s">
        <v>92</v>
      </c>
      <c r="I4" t="s">
        <v>93</v>
      </c>
      <c r="J4" t="s">
        <v>94</v>
      </c>
      <c r="K4" t="s">
        <v>61</v>
      </c>
      <c r="L4">
        <v>38</v>
      </c>
      <c r="M4" t="s">
        <v>79</v>
      </c>
      <c r="N4">
        <v>85000</v>
      </c>
      <c r="O4" t="s">
        <v>95</v>
      </c>
      <c r="P4" s="6">
        <v>1</v>
      </c>
      <c r="Q4">
        <v>40000</v>
      </c>
      <c r="R4">
        <f>Table2[[#This Row],[Units Sold]]*Table2[[#This Row],[Selling Price]]</f>
        <v>40000</v>
      </c>
      <c r="S4">
        <v>33000</v>
      </c>
      <c r="T4">
        <f t="shared" si="0"/>
        <v>7000</v>
      </c>
      <c r="U4">
        <v>800</v>
      </c>
      <c r="V4" s="2">
        <v>1</v>
      </c>
      <c r="W4" t="s">
        <v>96</v>
      </c>
      <c r="X4">
        <v>300</v>
      </c>
      <c r="Y4">
        <v>4.5999999999999996</v>
      </c>
    </row>
    <row r="5" spans="1:25" x14ac:dyDescent="0.3">
      <c r="A5" t="s">
        <v>28</v>
      </c>
      <c r="B5" s="1">
        <v>46047</v>
      </c>
      <c r="C5">
        <v>2026</v>
      </c>
      <c r="D5" t="s">
        <v>45</v>
      </c>
      <c r="E5" t="s">
        <v>97</v>
      </c>
      <c r="F5" t="s">
        <v>50</v>
      </c>
      <c r="G5" t="s">
        <v>98</v>
      </c>
      <c r="H5" t="s">
        <v>99</v>
      </c>
      <c r="I5" t="s">
        <v>100</v>
      </c>
      <c r="J5" t="s">
        <v>58</v>
      </c>
      <c r="K5" t="s">
        <v>62</v>
      </c>
      <c r="L5">
        <v>29</v>
      </c>
      <c r="M5" t="s">
        <v>87</v>
      </c>
      <c r="N5">
        <v>55000</v>
      </c>
      <c r="O5" t="s">
        <v>101</v>
      </c>
      <c r="P5" s="6">
        <v>1</v>
      </c>
      <c r="Q5">
        <v>25000</v>
      </c>
      <c r="R5">
        <f>Table2[[#This Row],[Units Sold]]*Table2[[#This Row],[Selling Price]]</f>
        <v>25000</v>
      </c>
      <c r="S5">
        <v>20000</v>
      </c>
      <c r="T5">
        <f t="shared" si="0"/>
        <v>5000</v>
      </c>
      <c r="U5">
        <v>1200</v>
      </c>
      <c r="V5" s="2">
        <v>1</v>
      </c>
      <c r="W5" t="s">
        <v>81</v>
      </c>
      <c r="X5">
        <v>150</v>
      </c>
      <c r="Y5">
        <v>4.7</v>
      </c>
    </row>
    <row r="6" spans="1:25" x14ac:dyDescent="0.3">
      <c r="A6" t="s">
        <v>29</v>
      </c>
      <c r="B6" s="1">
        <v>46056</v>
      </c>
      <c r="C6">
        <v>2026</v>
      </c>
      <c r="D6" t="s">
        <v>83</v>
      </c>
      <c r="E6" t="s">
        <v>46</v>
      </c>
      <c r="F6" t="s">
        <v>47</v>
      </c>
      <c r="G6" t="s">
        <v>55</v>
      </c>
      <c r="H6" t="s">
        <v>102</v>
      </c>
      <c r="I6" t="s">
        <v>103</v>
      </c>
      <c r="J6" t="s">
        <v>104</v>
      </c>
      <c r="K6" t="s">
        <v>63</v>
      </c>
      <c r="L6">
        <v>45</v>
      </c>
      <c r="M6" t="s">
        <v>79</v>
      </c>
      <c r="N6">
        <v>120000</v>
      </c>
      <c r="O6" t="s">
        <v>95</v>
      </c>
      <c r="P6" s="6">
        <v>1</v>
      </c>
      <c r="Q6">
        <v>60000</v>
      </c>
      <c r="R6">
        <f>Table2[[#This Row],[Units Sold]]*Table2[[#This Row],[Selling Price]]</f>
        <v>60000</v>
      </c>
      <c r="S6">
        <v>48000</v>
      </c>
      <c r="T6">
        <f t="shared" si="0"/>
        <v>12000</v>
      </c>
      <c r="U6">
        <v>1000</v>
      </c>
      <c r="V6" s="2">
        <v>1</v>
      </c>
      <c r="W6" t="s">
        <v>105</v>
      </c>
      <c r="X6">
        <v>500</v>
      </c>
      <c r="Y6">
        <v>4.9000000000000004</v>
      </c>
    </row>
    <row r="7" spans="1:25" x14ac:dyDescent="0.3">
      <c r="A7" t="s">
        <v>30</v>
      </c>
      <c r="B7" s="1">
        <v>46063</v>
      </c>
      <c r="C7">
        <v>2026</v>
      </c>
      <c r="D7" t="s">
        <v>83</v>
      </c>
      <c r="E7" t="s">
        <v>82</v>
      </c>
      <c r="F7" t="s">
        <v>48</v>
      </c>
      <c r="G7" t="s">
        <v>84</v>
      </c>
      <c r="H7" t="s">
        <v>56</v>
      </c>
      <c r="I7" t="s">
        <v>57</v>
      </c>
      <c r="J7" t="s">
        <v>58</v>
      </c>
      <c r="K7" t="s">
        <v>64</v>
      </c>
      <c r="L7">
        <v>36</v>
      </c>
      <c r="M7" t="s">
        <v>87</v>
      </c>
      <c r="N7">
        <v>68000</v>
      </c>
      <c r="O7" t="s">
        <v>106</v>
      </c>
      <c r="P7" s="6">
        <v>1</v>
      </c>
      <c r="Q7">
        <v>30000</v>
      </c>
      <c r="R7">
        <f>Table2[[#This Row],[Units Sold]]*Table2[[#This Row],[Selling Price]]</f>
        <v>30000</v>
      </c>
      <c r="S7">
        <v>24000</v>
      </c>
      <c r="T7">
        <f t="shared" si="0"/>
        <v>6000</v>
      </c>
      <c r="U7">
        <v>900</v>
      </c>
      <c r="V7" s="2">
        <v>1</v>
      </c>
      <c r="W7" t="s">
        <v>107</v>
      </c>
      <c r="X7">
        <v>350</v>
      </c>
      <c r="Y7">
        <v>4.5999999999999996</v>
      </c>
    </row>
    <row r="8" spans="1:25" x14ac:dyDescent="0.3">
      <c r="A8" t="s">
        <v>31</v>
      </c>
      <c r="B8" s="1">
        <v>46069</v>
      </c>
      <c r="C8">
        <v>2026</v>
      </c>
      <c r="D8" t="s">
        <v>83</v>
      </c>
      <c r="E8" t="s">
        <v>90</v>
      </c>
      <c r="F8" t="s">
        <v>49</v>
      </c>
      <c r="G8" t="s">
        <v>91</v>
      </c>
      <c r="H8" t="s">
        <v>85</v>
      </c>
      <c r="I8" t="s">
        <v>86</v>
      </c>
      <c r="J8" t="s">
        <v>58</v>
      </c>
      <c r="K8" t="s">
        <v>65</v>
      </c>
      <c r="L8">
        <v>27</v>
      </c>
      <c r="M8" t="s">
        <v>79</v>
      </c>
      <c r="N8">
        <v>48000</v>
      </c>
      <c r="O8" t="s">
        <v>108</v>
      </c>
      <c r="P8" s="6">
        <v>1</v>
      </c>
      <c r="Q8">
        <v>28000</v>
      </c>
      <c r="R8">
        <f>Table2[[#This Row],[Units Sold]]*Table2[[#This Row],[Selling Price]]</f>
        <v>28000</v>
      </c>
      <c r="S8">
        <v>22000</v>
      </c>
      <c r="T8">
        <f t="shared" ref="T8:T21" si="1">R8-S8</f>
        <v>6000</v>
      </c>
      <c r="U8">
        <v>6000</v>
      </c>
      <c r="V8" s="2">
        <v>1</v>
      </c>
      <c r="W8" t="s">
        <v>81</v>
      </c>
      <c r="X8">
        <v>150</v>
      </c>
      <c r="Y8">
        <v>4.4000000000000004</v>
      </c>
    </row>
    <row r="9" spans="1:25" x14ac:dyDescent="0.3">
      <c r="A9" t="s">
        <v>32</v>
      </c>
      <c r="B9" s="1">
        <v>46077</v>
      </c>
      <c r="C9">
        <v>2026</v>
      </c>
      <c r="D9" t="s">
        <v>83</v>
      </c>
      <c r="E9" t="s">
        <v>97</v>
      </c>
      <c r="F9" t="s">
        <v>50</v>
      </c>
      <c r="G9" t="s">
        <v>98</v>
      </c>
      <c r="H9" t="s">
        <v>92</v>
      </c>
      <c r="I9" t="s">
        <v>93</v>
      </c>
      <c r="J9" t="s">
        <v>94</v>
      </c>
      <c r="K9" t="s">
        <v>66</v>
      </c>
      <c r="L9">
        <v>51</v>
      </c>
      <c r="M9" t="s">
        <v>79</v>
      </c>
      <c r="N9">
        <v>95000</v>
      </c>
      <c r="O9" t="s">
        <v>95</v>
      </c>
      <c r="P9" s="6">
        <v>1</v>
      </c>
      <c r="Q9">
        <v>40000</v>
      </c>
      <c r="R9">
        <f>Table2[[#This Row],[Units Sold]]*Table2[[#This Row],[Selling Price]]</f>
        <v>40000</v>
      </c>
      <c r="S9">
        <v>33000</v>
      </c>
      <c r="T9">
        <f t="shared" si="1"/>
        <v>7000</v>
      </c>
      <c r="U9">
        <v>700</v>
      </c>
      <c r="V9" s="2">
        <v>1</v>
      </c>
      <c r="W9" t="s">
        <v>89</v>
      </c>
      <c r="X9">
        <v>250</v>
      </c>
      <c r="Y9">
        <v>4.3</v>
      </c>
    </row>
    <row r="10" spans="1:25" x14ac:dyDescent="0.3">
      <c r="A10" t="s">
        <v>33</v>
      </c>
      <c r="B10" s="1">
        <v>46086</v>
      </c>
      <c r="C10">
        <v>2026</v>
      </c>
      <c r="D10" t="s">
        <v>109</v>
      </c>
      <c r="E10" t="s">
        <v>46</v>
      </c>
      <c r="F10" t="s">
        <v>51</v>
      </c>
      <c r="G10" t="s">
        <v>111</v>
      </c>
      <c r="H10" t="s">
        <v>99</v>
      </c>
      <c r="I10" t="s">
        <v>100</v>
      </c>
      <c r="J10" t="s">
        <v>58</v>
      </c>
      <c r="K10" t="s">
        <v>67</v>
      </c>
      <c r="L10">
        <v>34</v>
      </c>
      <c r="M10" t="s">
        <v>87</v>
      </c>
      <c r="N10">
        <v>62000</v>
      </c>
      <c r="O10" t="s">
        <v>112</v>
      </c>
      <c r="P10" s="6">
        <v>1</v>
      </c>
      <c r="Q10">
        <v>25000</v>
      </c>
      <c r="R10">
        <f>Table2[[#This Row],[Units Sold]]*Table2[[#This Row],[Selling Price]]</f>
        <v>25000</v>
      </c>
      <c r="S10">
        <v>20000</v>
      </c>
      <c r="T10">
        <f t="shared" si="1"/>
        <v>5000</v>
      </c>
      <c r="U10">
        <v>750</v>
      </c>
      <c r="V10" s="2">
        <v>1</v>
      </c>
      <c r="W10" t="s">
        <v>81</v>
      </c>
      <c r="X10">
        <v>150</v>
      </c>
      <c r="Y10">
        <v>4.7</v>
      </c>
    </row>
    <row r="11" spans="1:25" x14ac:dyDescent="0.3">
      <c r="A11" t="s">
        <v>34</v>
      </c>
      <c r="B11" s="1">
        <v>46095</v>
      </c>
      <c r="C11">
        <v>2026</v>
      </c>
      <c r="D11" t="s">
        <v>109</v>
      </c>
      <c r="E11" t="s">
        <v>82</v>
      </c>
      <c r="F11" t="s">
        <v>52</v>
      </c>
      <c r="G11" t="s">
        <v>113</v>
      </c>
      <c r="H11" t="s">
        <v>102</v>
      </c>
      <c r="I11" t="s">
        <v>103</v>
      </c>
      <c r="J11" t="s">
        <v>58</v>
      </c>
      <c r="K11" t="s">
        <v>68</v>
      </c>
      <c r="L11">
        <v>43</v>
      </c>
      <c r="M11" t="s">
        <v>79</v>
      </c>
      <c r="N11">
        <v>110000</v>
      </c>
      <c r="O11" t="s">
        <v>88</v>
      </c>
      <c r="P11" s="6">
        <v>1</v>
      </c>
      <c r="Q11">
        <v>60000</v>
      </c>
      <c r="R11">
        <f>Table2[[#This Row],[Units Sold]]*Table2[[#This Row],[Selling Price]]</f>
        <v>60000</v>
      </c>
      <c r="S11">
        <v>48000</v>
      </c>
      <c r="T11">
        <f t="shared" si="1"/>
        <v>12000</v>
      </c>
      <c r="U11">
        <v>1100</v>
      </c>
      <c r="V11" s="2">
        <v>1</v>
      </c>
      <c r="W11" t="s">
        <v>105</v>
      </c>
      <c r="X11">
        <v>500</v>
      </c>
      <c r="Y11">
        <v>4.8</v>
      </c>
    </row>
    <row r="12" spans="1:25" x14ac:dyDescent="0.3">
      <c r="A12" t="s">
        <v>35</v>
      </c>
      <c r="B12" s="1">
        <v>46103</v>
      </c>
      <c r="C12">
        <v>2026</v>
      </c>
      <c r="D12" t="s">
        <v>109</v>
      </c>
      <c r="E12" t="s">
        <v>90</v>
      </c>
      <c r="F12" t="s">
        <v>53</v>
      </c>
      <c r="G12" t="s">
        <v>114</v>
      </c>
      <c r="H12" t="s">
        <v>56</v>
      </c>
      <c r="I12" t="s">
        <v>57</v>
      </c>
      <c r="J12" t="s">
        <v>58</v>
      </c>
      <c r="K12" t="s">
        <v>69</v>
      </c>
      <c r="L12">
        <v>31</v>
      </c>
      <c r="M12" t="s">
        <v>79</v>
      </c>
      <c r="N12">
        <v>58000</v>
      </c>
      <c r="O12" t="s">
        <v>108</v>
      </c>
      <c r="P12" s="6">
        <v>1</v>
      </c>
      <c r="Q12">
        <v>30000</v>
      </c>
      <c r="R12">
        <f>Table2[[#This Row],[Units Sold]]*Table2[[#This Row],[Selling Price]]</f>
        <v>30000</v>
      </c>
      <c r="S12">
        <v>24000</v>
      </c>
      <c r="T12">
        <f t="shared" si="1"/>
        <v>6000</v>
      </c>
      <c r="U12">
        <v>700</v>
      </c>
      <c r="V12" s="2">
        <v>1</v>
      </c>
      <c r="W12" t="s">
        <v>81</v>
      </c>
      <c r="X12">
        <v>150</v>
      </c>
      <c r="Y12">
        <v>4.5</v>
      </c>
    </row>
    <row r="13" spans="1:25" x14ac:dyDescent="0.3">
      <c r="A13" t="s">
        <v>36</v>
      </c>
      <c r="B13" s="1">
        <v>46110</v>
      </c>
      <c r="C13">
        <v>2026</v>
      </c>
      <c r="D13" t="s">
        <v>109</v>
      </c>
      <c r="E13" t="s">
        <v>97</v>
      </c>
      <c r="F13" t="s">
        <v>54</v>
      </c>
      <c r="G13" t="s">
        <v>115</v>
      </c>
      <c r="H13" t="s">
        <v>85</v>
      </c>
      <c r="I13" t="s">
        <v>86</v>
      </c>
      <c r="J13" t="s">
        <v>58</v>
      </c>
      <c r="K13" t="s">
        <v>70</v>
      </c>
      <c r="L13">
        <v>39</v>
      </c>
      <c r="M13" t="s">
        <v>87</v>
      </c>
      <c r="N13">
        <v>70000</v>
      </c>
      <c r="O13" t="s">
        <v>106</v>
      </c>
      <c r="P13" s="6">
        <v>1</v>
      </c>
      <c r="Q13">
        <v>28000</v>
      </c>
      <c r="R13">
        <f>Table2[[#This Row],[Units Sold]]*Table2[[#This Row],[Selling Price]]</f>
        <v>28000</v>
      </c>
      <c r="S13">
        <v>22000</v>
      </c>
      <c r="T13">
        <f t="shared" si="1"/>
        <v>6000</v>
      </c>
      <c r="U13">
        <v>850</v>
      </c>
      <c r="V13" s="2">
        <v>1</v>
      </c>
      <c r="W13" t="s">
        <v>107</v>
      </c>
      <c r="X13">
        <v>350</v>
      </c>
      <c r="Y13">
        <v>4.5999999999999996</v>
      </c>
    </row>
    <row r="14" spans="1:25" x14ac:dyDescent="0.3">
      <c r="A14" t="s">
        <v>37</v>
      </c>
      <c r="B14" s="1">
        <v>46119</v>
      </c>
      <c r="C14">
        <v>2026</v>
      </c>
      <c r="D14" t="s">
        <v>110</v>
      </c>
      <c r="E14" t="s">
        <v>46</v>
      </c>
      <c r="F14" t="s">
        <v>51</v>
      </c>
      <c r="G14" t="s">
        <v>111</v>
      </c>
      <c r="H14" t="s">
        <v>92</v>
      </c>
      <c r="I14" t="s">
        <v>93</v>
      </c>
      <c r="J14" t="s">
        <v>94</v>
      </c>
      <c r="K14" t="s">
        <v>71</v>
      </c>
      <c r="L14">
        <v>47</v>
      </c>
      <c r="M14" t="s">
        <v>79</v>
      </c>
      <c r="N14">
        <v>90000</v>
      </c>
      <c r="O14" t="s">
        <v>95</v>
      </c>
      <c r="P14" s="6">
        <v>1</v>
      </c>
      <c r="Q14">
        <v>40000</v>
      </c>
      <c r="R14">
        <f>Table2[[#This Row],[Units Sold]]*Table2[[#This Row],[Selling Price]]</f>
        <v>40000</v>
      </c>
      <c r="S14">
        <v>33000</v>
      </c>
      <c r="T14">
        <f t="shared" si="1"/>
        <v>7000</v>
      </c>
      <c r="U14">
        <v>700</v>
      </c>
      <c r="V14" s="2">
        <v>1</v>
      </c>
      <c r="W14" t="s">
        <v>96</v>
      </c>
      <c r="X14">
        <v>300</v>
      </c>
      <c r="Y14">
        <v>4.2</v>
      </c>
    </row>
    <row r="15" spans="1:25" x14ac:dyDescent="0.3">
      <c r="A15" t="s">
        <v>38</v>
      </c>
      <c r="B15" s="1">
        <v>46127</v>
      </c>
      <c r="C15">
        <v>2026</v>
      </c>
      <c r="D15" t="s">
        <v>110</v>
      </c>
      <c r="E15" t="s">
        <v>82</v>
      </c>
      <c r="F15" t="s">
        <v>52</v>
      </c>
      <c r="G15" t="s">
        <v>113</v>
      </c>
      <c r="H15" t="s">
        <v>99</v>
      </c>
      <c r="I15" t="s">
        <v>100</v>
      </c>
      <c r="J15" t="s">
        <v>58</v>
      </c>
      <c r="K15" t="s">
        <v>72</v>
      </c>
      <c r="L15">
        <v>28</v>
      </c>
      <c r="M15" t="s">
        <v>87</v>
      </c>
      <c r="N15">
        <v>52000</v>
      </c>
      <c r="O15" t="s">
        <v>101</v>
      </c>
      <c r="P15" s="6">
        <v>1</v>
      </c>
      <c r="Q15">
        <v>25000</v>
      </c>
      <c r="R15">
        <f>Table2[[#This Row],[Units Sold]]*Table2[[#This Row],[Selling Price]]</f>
        <v>25000</v>
      </c>
      <c r="S15">
        <v>20000</v>
      </c>
      <c r="T15">
        <f t="shared" si="1"/>
        <v>5000</v>
      </c>
      <c r="U15">
        <v>1000</v>
      </c>
      <c r="V15" s="2">
        <v>1</v>
      </c>
      <c r="W15" t="s">
        <v>81</v>
      </c>
      <c r="X15">
        <v>150</v>
      </c>
      <c r="Y15">
        <v>4.7</v>
      </c>
    </row>
    <row r="16" spans="1:25" x14ac:dyDescent="0.3">
      <c r="A16" t="s">
        <v>39</v>
      </c>
      <c r="B16" s="1">
        <v>46135</v>
      </c>
      <c r="C16">
        <v>2026</v>
      </c>
      <c r="D16" t="s">
        <v>110</v>
      </c>
      <c r="E16" t="s">
        <v>90</v>
      </c>
      <c r="F16" t="s">
        <v>53</v>
      </c>
      <c r="G16" t="s">
        <v>114</v>
      </c>
      <c r="H16" t="s">
        <v>102</v>
      </c>
      <c r="I16" t="s">
        <v>103</v>
      </c>
      <c r="J16" t="s">
        <v>104</v>
      </c>
      <c r="K16" t="s">
        <v>73</v>
      </c>
      <c r="L16">
        <v>50</v>
      </c>
      <c r="M16" t="s">
        <v>79</v>
      </c>
      <c r="N16">
        <v>130000</v>
      </c>
      <c r="O16" t="s">
        <v>95</v>
      </c>
      <c r="P16" s="6">
        <v>1</v>
      </c>
      <c r="Q16">
        <v>60000</v>
      </c>
      <c r="R16">
        <f>Table2[[#This Row],[Units Sold]]*Table2[[#This Row],[Selling Price]]</f>
        <v>60000</v>
      </c>
      <c r="S16">
        <v>48000</v>
      </c>
      <c r="T16">
        <f t="shared" si="1"/>
        <v>12000</v>
      </c>
      <c r="U16">
        <v>950</v>
      </c>
      <c r="V16" s="2">
        <v>1</v>
      </c>
      <c r="W16" t="s">
        <v>105</v>
      </c>
      <c r="X16">
        <v>500</v>
      </c>
      <c r="Y16">
        <v>4.9000000000000004</v>
      </c>
    </row>
    <row r="17" spans="1:25" x14ac:dyDescent="0.3">
      <c r="A17" t="s">
        <v>40</v>
      </c>
      <c r="B17" s="1">
        <v>46142</v>
      </c>
      <c r="C17">
        <v>2026</v>
      </c>
      <c r="D17" t="s">
        <v>110</v>
      </c>
      <c r="E17" t="s">
        <v>97</v>
      </c>
      <c r="F17" t="s">
        <v>54</v>
      </c>
      <c r="G17" t="s">
        <v>115</v>
      </c>
      <c r="H17" t="s">
        <v>56</v>
      </c>
      <c r="I17" t="s">
        <v>57</v>
      </c>
      <c r="J17" t="s">
        <v>58</v>
      </c>
      <c r="K17" t="s">
        <v>74</v>
      </c>
      <c r="L17">
        <v>35</v>
      </c>
      <c r="M17" t="s">
        <v>87</v>
      </c>
      <c r="N17">
        <v>64000</v>
      </c>
      <c r="O17" t="s">
        <v>80</v>
      </c>
      <c r="P17" s="6">
        <v>1</v>
      </c>
      <c r="Q17">
        <v>30000</v>
      </c>
      <c r="R17">
        <f>Table2[[#This Row],[Units Sold]]*Table2[[#This Row],[Selling Price]]</f>
        <v>30000</v>
      </c>
      <c r="S17">
        <v>24000</v>
      </c>
      <c r="T17">
        <f t="shared" si="1"/>
        <v>6000</v>
      </c>
      <c r="U17">
        <v>900</v>
      </c>
      <c r="V17" s="2">
        <v>1</v>
      </c>
      <c r="W17" t="s">
        <v>89</v>
      </c>
      <c r="X17">
        <v>250</v>
      </c>
      <c r="Y17">
        <v>4.5</v>
      </c>
    </row>
    <row r="18" spans="1:25" x14ac:dyDescent="0.3">
      <c r="A18" t="s">
        <v>41</v>
      </c>
      <c r="B18" s="1">
        <v>46150</v>
      </c>
      <c r="C18">
        <v>2026</v>
      </c>
      <c r="D18" t="s">
        <v>116</v>
      </c>
      <c r="E18" t="s">
        <v>46</v>
      </c>
      <c r="F18" t="s">
        <v>47</v>
      </c>
      <c r="G18" t="s">
        <v>55</v>
      </c>
      <c r="H18" t="s">
        <v>85</v>
      </c>
      <c r="I18" t="s">
        <v>86</v>
      </c>
      <c r="J18" t="s">
        <v>58</v>
      </c>
      <c r="K18" t="s">
        <v>75</v>
      </c>
      <c r="L18">
        <v>42</v>
      </c>
      <c r="M18" t="s">
        <v>79</v>
      </c>
      <c r="N18">
        <v>76000</v>
      </c>
      <c r="O18" t="s">
        <v>88</v>
      </c>
      <c r="P18" s="6">
        <v>1</v>
      </c>
      <c r="Q18">
        <v>28000</v>
      </c>
      <c r="R18">
        <f>Table2[[#This Row],[Units Sold]]*Table2[[#This Row],[Selling Price]]</f>
        <v>28000</v>
      </c>
      <c r="S18">
        <v>22000</v>
      </c>
      <c r="T18">
        <f t="shared" si="1"/>
        <v>6000</v>
      </c>
      <c r="U18">
        <v>1000</v>
      </c>
      <c r="V18" s="2">
        <v>1</v>
      </c>
      <c r="W18" t="s">
        <v>107</v>
      </c>
      <c r="X18">
        <v>350</v>
      </c>
      <c r="Y18">
        <v>4.5999999999999996</v>
      </c>
    </row>
    <row r="19" spans="1:25" x14ac:dyDescent="0.3">
      <c r="A19" t="s">
        <v>42</v>
      </c>
      <c r="B19" s="1">
        <v>46158</v>
      </c>
      <c r="C19">
        <v>2026</v>
      </c>
      <c r="D19" t="s">
        <v>116</v>
      </c>
      <c r="E19" t="s">
        <v>82</v>
      </c>
      <c r="F19" t="s">
        <v>48</v>
      </c>
      <c r="G19" t="s">
        <v>84</v>
      </c>
      <c r="H19" t="s">
        <v>92</v>
      </c>
      <c r="I19" t="s">
        <v>93</v>
      </c>
      <c r="J19" t="s">
        <v>94</v>
      </c>
      <c r="K19" t="s">
        <v>76</v>
      </c>
      <c r="L19">
        <v>37</v>
      </c>
      <c r="M19" t="s">
        <v>79</v>
      </c>
      <c r="N19">
        <v>83000</v>
      </c>
      <c r="O19" t="s">
        <v>95</v>
      </c>
      <c r="P19" s="6">
        <v>1</v>
      </c>
      <c r="Q19">
        <v>40000</v>
      </c>
      <c r="R19">
        <f>Table2[[#This Row],[Units Sold]]*Table2[[#This Row],[Selling Price]]</f>
        <v>40000</v>
      </c>
      <c r="S19">
        <v>33000</v>
      </c>
      <c r="T19">
        <f t="shared" si="1"/>
        <v>7000</v>
      </c>
      <c r="U19">
        <v>900</v>
      </c>
      <c r="V19" s="2">
        <v>1</v>
      </c>
      <c r="W19" t="s">
        <v>96</v>
      </c>
      <c r="X19">
        <v>300</v>
      </c>
      <c r="Y19">
        <v>4.4000000000000004</v>
      </c>
    </row>
    <row r="20" spans="1:25" x14ac:dyDescent="0.3">
      <c r="A20" t="s">
        <v>43</v>
      </c>
      <c r="B20" s="1">
        <v>46166</v>
      </c>
      <c r="C20">
        <v>2026</v>
      </c>
      <c r="D20" t="s">
        <v>116</v>
      </c>
      <c r="E20" t="s">
        <v>90</v>
      </c>
      <c r="F20" t="s">
        <v>49</v>
      </c>
      <c r="G20" t="s">
        <v>91</v>
      </c>
      <c r="H20" t="s">
        <v>99</v>
      </c>
      <c r="I20" t="s">
        <v>100</v>
      </c>
      <c r="J20" t="s">
        <v>58</v>
      </c>
      <c r="K20" t="s">
        <v>77</v>
      </c>
      <c r="L20">
        <v>30</v>
      </c>
      <c r="M20" t="s">
        <v>87</v>
      </c>
      <c r="N20">
        <v>57000</v>
      </c>
      <c r="O20" t="s">
        <v>101</v>
      </c>
      <c r="P20" s="6">
        <v>1</v>
      </c>
      <c r="Q20">
        <v>25000</v>
      </c>
      <c r="R20">
        <f>Table2[[#This Row],[Units Sold]]*Table2[[#This Row],[Selling Price]]</f>
        <v>25000</v>
      </c>
      <c r="S20">
        <v>20000</v>
      </c>
      <c r="T20">
        <f t="shared" si="1"/>
        <v>5000</v>
      </c>
      <c r="U20">
        <v>800</v>
      </c>
      <c r="V20" s="2">
        <v>1</v>
      </c>
      <c r="W20" t="s">
        <v>81</v>
      </c>
      <c r="X20">
        <v>150</v>
      </c>
      <c r="Y20">
        <v>4.8</v>
      </c>
    </row>
    <row r="21" spans="1:25" x14ac:dyDescent="0.3">
      <c r="A21" t="s">
        <v>44</v>
      </c>
      <c r="B21" s="1">
        <v>46173</v>
      </c>
      <c r="C21">
        <v>2026</v>
      </c>
      <c r="D21" t="s">
        <v>116</v>
      </c>
      <c r="E21" t="s">
        <v>97</v>
      </c>
      <c r="F21" t="s">
        <v>50</v>
      </c>
      <c r="G21" t="s">
        <v>98</v>
      </c>
      <c r="H21" t="s">
        <v>102</v>
      </c>
      <c r="I21" t="s">
        <v>103</v>
      </c>
      <c r="J21" t="s">
        <v>104</v>
      </c>
      <c r="K21" t="s">
        <v>78</v>
      </c>
      <c r="L21">
        <v>46</v>
      </c>
      <c r="M21" t="s">
        <v>79</v>
      </c>
      <c r="N21">
        <v>115000</v>
      </c>
      <c r="O21" t="s">
        <v>88</v>
      </c>
      <c r="P21" s="6">
        <v>1</v>
      </c>
      <c r="Q21">
        <v>60000</v>
      </c>
      <c r="R21">
        <f>Table2[[#This Row],[Units Sold]]*Table2[[#This Row],[Selling Price]]</f>
        <v>60000</v>
      </c>
      <c r="S21">
        <v>48000</v>
      </c>
      <c r="T21">
        <f t="shared" si="1"/>
        <v>12000</v>
      </c>
      <c r="U21">
        <v>1200</v>
      </c>
      <c r="V21" s="2">
        <v>1</v>
      </c>
      <c r="W21" t="s">
        <v>105</v>
      </c>
      <c r="X21">
        <v>500</v>
      </c>
      <c r="Y21">
        <v>4.9000000000000004</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7" workbookViewId="0">
      <selection activeCell="Q26" sqref="Q2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BrandPerformance</vt:lpstr>
      <vt:lpstr>ModelPerformance</vt:lpstr>
      <vt:lpstr>SalesTrends</vt:lpstr>
      <vt:lpstr>DealerAnlytics</vt:lpstr>
      <vt:lpstr>CustomerDemographic</vt:lpstr>
      <vt:lpstr>RegionalSales</vt:lpstr>
      <vt:lpstr>ServiceAnalytics</vt:lpstr>
      <vt:lpstr>Revenue&amp;Profit</vt:lpstr>
      <vt:lpstr>MainDashboard</vt:lpstr>
      <vt:lpstr>KPIBackend</vt:lpstr>
      <vt:lpstr>TableAutomobileSales</vt:lpstr>
      <vt:lpstr>MainDashborad2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2026-10-04T14:25:18Z</dcterms:created>
  <dcterms:modified xsi:type="dcterms:W3CDTF">2026-10-08T11:15:10Z</dcterms:modified>
</cp:coreProperties>
</file>